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dowillems/Desktop/"/>
    </mc:Choice>
  </mc:AlternateContent>
  <xr:revisionPtr revIDLastSave="0" documentId="8_{9158B8E5-123D-7D42-B700-421D65EC6467}" xr6:coauthVersionLast="47" xr6:coauthVersionMax="47" xr10:uidLastSave="{00000000-0000-0000-0000-000000000000}"/>
  <bookViews>
    <workbookView xWindow="1300" yWindow="500" windowWidth="23420" windowHeight="14320" xr2:uid="{A6549BDC-4A4E-184D-A161-520086E420D2}"/>
  </bookViews>
  <sheets>
    <sheet name="Grundsätzliches" sheetId="2" r:id="rId1"/>
    <sheet name="Addition" sheetId="3" r:id="rId2"/>
    <sheet name="Multiplikation" sheetId="4" r:id="rId3"/>
    <sheet name="Inverse I" sheetId="5" r:id="rId4"/>
    <sheet name="Inverse II" sheetId="8" r:id="rId5"/>
    <sheet name="Inverse III" sheetId="9" r:id="rId6"/>
    <sheet name="Inverse IV" sheetId="12" r:id="rId7"/>
    <sheet name="Gleichungssystem I" sheetId="6" r:id="rId8"/>
    <sheet name="Gauß | Elimination" sheetId="15" r:id="rId9"/>
    <sheet name="Gleichungssystem II" sheetId="13" r:id="rId10"/>
    <sheet name="Gleichungssystem III" sheetId="11" r:id="rId11"/>
    <sheet name="Simplex-Algorithmus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5" l="1"/>
  <c r="K3" i="15"/>
  <c r="K2" i="15"/>
  <c r="H8" i="15"/>
  <c r="G8" i="15"/>
  <c r="F8" i="15"/>
  <c r="E8" i="15"/>
  <c r="E12" i="15" s="1"/>
  <c r="H7" i="15"/>
  <c r="H11" i="15" s="1"/>
  <c r="G7" i="15"/>
  <c r="F7" i="15"/>
  <c r="F11" i="15" s="1"/>
  <c r="E7" i="15"/>
  <c r="E11" i="15" s="1"/>
  <c r="H6" i="15"/>
  <c r="G6" i="15"/>
  <c r="F6" i="15"/>
  <c r="E6" i="15"/>
  <c r="I13" i="14"/>
  <c r="H13" i="14"/>
  <c r="G13" i="14"/>
  <c r="F13" i="14"/>
  <c r="F20" i="14" s="1"/>
  <c r="E13" i="14"/>
  <c r="E20" i="14" s="1"/>
  <c r="D13" i="14"/>
  <c r="D20" i="14" s="1"/>
  <c r="C13" i="14"/>
  <c r="C20" i="14" s="1"/>
  <c r="I12" i="14"/>
  <c r="H12" i="14"/>
  <c r="G12" i="14"/>
  <c r="F12" i="14"/>
  <c r="E12" i="14"/>
  <c r="E19" i="14" s="1"/>
  <c r="D12" i="14"/>
  <c r="C12" i="14"/>
  <c r="C19" i="14" s="1"/>
  <c r="I11" i="14"/>
  <c r="H11" i="14"/>
  <c r="G11" i="14"/>
  <c r="F11" i="14"/>
  <c r="E11" i="14"/>
  <c r="D11" i="14"/>
  <c r="E18" i="14" s="1"/>
  <c r="C11" i="14"/>
  <c r="C18" i="14" s="1"/>
  <c r="I10" i="14"/>
  <c r="H10" i="14"/>
  <c r="G10" i="14"/>
  <c r="F10" i="14"/>
  <c r="E10" i="14"/>
  <c r="D10" i="14"/>
  <c r="C10" i="14"/>
  <c r="C17" i="14" s="1"/>
  <c r="J5" i="14"/>
  <c r="J4" i="14"/>
  <c r="J3" i="14"/>
  <c r="G37" i="13"/>
  <c r="G38" i="13"/>
  <c r="G39" i="13"/>
  <c r="G36" i="13"/>
  <c r="D32" i="13"/>
  <c r="E32" i="13"/>
  <c r="F32" i="13"/>
  <c r="G32" i="13"/>
  <c r="D33" i="13"/>
  <c r="E33" i="13"/>
  <c r="F33" i="13"/>
  <c r="G33" i="13"/>
  <c r="D34" i="13"/>
  <c r="E34" i="13"/>
  <c r="F34" i="13"/>
  <c r="G34" i="13"/>
  <c r="E31" i="13"/>
  <c r="F31" i="13"/>
  <c r="G31" i="13"/>
  <c r="D31" i="13"/>
  <c r="K10" i="13"/>
  <c r="J10" i="13"/>
  <c r="I10" i="13"/>
  <c r="H10" i="13"/>
  <c r="G10" i="13"/>
  <c r="F10" i="13"/>
  <c r="E10" i="13"/>
  <c r="D10" i="13"/>
  <c r="C10" i="13"/>
  <c r="K9" i="13"/>
  <c r="J9" i="13"/>
  <c r="I9" i="13"/>
  <c r="H9" i="13"/>
  <c r="G9" i="13"/>
  <c r="F9" i="13"/>
  <c r="E9" i="13"/>
  <c r="E14" i="13" s="1"/>
  <c r="E19" i="13" s="1"/>
  <c r="D9" i="13"/>
  <c r="C9" i="13"/>
  <c r="K8" i="13"/>
  <c r="J8" i="13"/>
  <c r="J13" i="13" s="1"/>
  <c r="I8" i="13"/>
  <c r="H8" i="13"/>
  <c r="G8" i="13"/>
  <c r="G13" i="13" s="1"/>
  <c r="F8" i="13"/>
  <c r="F13" i="13" s="1"/>
  <c r="E8" i="13"/>
  <c r="D8" i="13"/>
  <c r="C8" i="13"/>
  <c r="K7" i="13"/>
  <c r="K12" i="13" s="1"/>
  <c r="J7" i="13"/>
  <c r="I7" i="13"/>
  <c r="H7" i="13"/>
  <c r="G7" i="13"/>
  <c r="G12" i="13" s="1"/>
  <c r="F7" i="13"/>
  <c r="E7" i="13"/>
  <c r="D7" i="13"/>
  <c r="C7" i="13"/>
  <c r="C12" i="13" s="1"/>
  <c r="E15" i="11"/>
  <c r="C15" i="11"/>
  <c r="D15" i="11"/>
  <c r="K14" i="11"/>
  <c r="C14" i="11"/>
  <c r="D14" i="11"/>
  <c r="J13" i="11"/>
  <c r="K13" i="11"/>
  <c r="C13" i="11"/>
  <c r="D13" i="11"/>
  <c r="J12" i="11"/>
  <c r="D10" i="11"/>
  <c r="E10" i="11"/>
  <c r="F10" i="11"/>
  <c r="G10" i="11"/>
  <c r="G15" i="11" s="1"/>
  <c r="H10" i="11"/>
  <c r="H15" i="11" s="1"/>
  <c r="I10" i="11"/>
  <c r="I15" i="11" s="1"/>
  <c r="J10" i="11"/>
  <c r="J15" i="11" s="1"/>
  <c r="K10" i="11"/>
  <c r="K15" i="11" s="1"/>
  <c r="C10" i="11"/>
  <c r="D9" i="11"/>
  <c r="E9" i="11"/>
  <c r="F9" i="11"/>
  <c r="F14" i="11" s="1"/>
  <c r="G9" i="11"/>
  <c r="G14" i="11" s="1"/>
  <c r="H9" i="11"/>
  <c r="H14" i="11" s="1"/>
  <c r="I9" i="11"/>
  <c r="I14" i="11" s="1"/>
  <c r="J9" i="11"/>
  <c r="J14" i="11" s="1"/>
  <c r="K9" i="11"/>
  <c r="C9" i="11"/>
  <c r="D8" i="11"/>
  <c r="E8" i="11"/>
  <c r="E14" i="11" s="1"/>
  <c r="E19" i="11" s="1"/>
  <c r="F8" i="11"/>
  <c r="F15" i="11" s="1"/>
  <c r="G8" i="11"/>
  <c r="G13" i="11" s="1"/>
  <c r="H8" i="11"/>
  <c r="H13" i="11" s="1"/>
  <c r="I8" i="11"/>
  <c r="I13" i="11" s="1"/>
  <c r="J8" i="11"/>
  <c r="K8" i="11"/>
  <c r="C8" i="11"/>
  <c r="D7" i="11"/>
  <c r="K12" i="11" s="1"/>
  <c r="E7" i="11"/>
  <c r="E12" i="11" s="1"/>
  <c r="F7" i="11"/>
  <c r="F12" i="11" s="1"/>
  <c r="G7" i="11"/>
  <c r="G12" i="11" s="1"/>
  <c r="H7" i="11"/>
  <c r="H12" i="11" s="1"/>
  <c r="I7" i="11"/>
  <c r="J7" i="11"/>
  <c r="K7" i="11"/>
  <c r="C7" i="11"/>
  <c r="C12" i="11" s="1"/>
  <c r="H7" i="12"/>
  <c r="G7" i="12"/>
  <c r="F7" i="12"/>
  <c r="C7" i="12"/>
  <c r="D5" i="12"/>
  <c r="C5" i="12"/>
  <c r="C9" i="12" s="1"/>
  <c r="E4" i="12"/>
  <c r="C4" i="12"/>
  <c r="H8" i="12" s="1"/>
  <c r="E3" i="12"/>
  <c r="E7" i="12" s="1"/>
  <c r="D3" i="12"/>
  <c r="D7" i="12" s="1"/>
  <c r="I12" i="11" l="1"/>
  <c r="D17" i="14"/>
  <c r="G20" i="14"/>
  <c r="D12" i="11"/>
  <c r="D17" i="11" s="1"/>
  <c r="F13" i="11"/>
  <c r="F18" i="11" s="1"/>
  <c r="H17" i="14"/>
  <c r="J11" i="14"/>
  <c r="D18" i="14"/>
  <c r="E13" i="11"/>
  <c r="J18" i="11" s="1"/>
  <c r="J6" i="14"/>
  <c r="J10" i="14"/>
  <c r="I18" i="14"/>
  <c r="F19" i="14"/>
  <c r="D19" i="14"/>
  <c r="E17" i="14"/>
  <c r="F18" i="14"/>
  <c r="G19" i="14"/>
  <c r="H20" i="14"/>
  <c r="E12" i="13"/>
  <c r="F17" i="14"/>
  <c r="G18" i="14"/>
  <c r="H19" i="14"/>
  <c r="I20" i="14"/>
  <c r="E13" i="13"/>
  <c r="G17" i="14"/>
  <c r="H18" i="14"/>
  <c r="I19" i="14"/>
  <c r="G11" i="15"/>
  <c r="F12" i="15"/>
  <c r="G12" i="15"/>
  <c r="G16" i="15" s="1"/>
  <c r="H12" i="15"/>
  <c r="H16" i="15"/>
  <c r="J12" i="14"/>
  <c r="I17" i="14"/>
  <c r="I15" i="13"/>
  <c r="H12" i="13"/>
  <c r="F14" i="13"/>
  <c r="F19" i="13" s="1"/>
  <c r="E15" i="13"/>
  <c r="E20" i="13" s="1"/>
  <c r="H15" i="13"/>
  <c r="H20" i="13" s="1"/>
  <c r="K17" i="13"/>
  <c r="G15" i="13"/>
  <c r="C14" i="13"/>
  <c r="C17" i="13" s="1"/>
  <c r="K14" i="13"/>
  <c r="J15" i="13"/>
  <c r="J20" i="13" s="1"/>
  <c r="I14" i="13"/>
  <c r="I19" i="13" s="1"/>
  <c r="F12" i="13"/>
  <c r="F17" i="13" s="1"/>
  <c r="D14" i="13"/>
  <c r="D19" i="13" s="1"/>
  <c r="C15" i="13"/>
  <c r="C20" i="13" s="1"/>
  <c r="K15" i="13"/>
  <c r="E17" i="13"/>
  <c r="C19" i="13"/>
  <c r="K19" i="13"/>
  <c r="E18" i="13"/>
  <c r="K20" i="13"/>
  <c r="G14" i="13"/>
  <c r="G19" i="13" s="1"/>
  <c r="J12" i="13"/>
  <c r="D15" i="13"/>
  <c r="I12" i="13"/>
  <c r="F15" i="13"/>
  <c r="H14" i="13"/>
  <c r="H19" i="13" s="1"/>
  <c r="D12" i="13"/>
  <c r="C13" i="13"/>
  <c r="C18" i="13" s="1"/>
  <c r="K13" i="13"/>
  <c r="J14" i="13"/>
  <c r="J19" i="13" s="1"/>
  <c r="D13" i="13"/>
  <c r="H13" i="13"/>
  <c r="I13" i="13"/>
  <c r="H19" i="11"/>
  <c r="H18" i="11"/>
  <c r="F19" i="11"/>
  <c r="J19" i="11"/>
  <c r="G19" i="11"/>
  <c r="J17" i="11"/>
  <c r="C19" i="11"/>
  <c r="K19" i="11"/>
  <c r="I19" i="11"/>
  <c r="E17" i="11"/>
  <c r="F17" i="11"/>
  <c r="E18" i="11"/>
  <c r="D19" i="11"/>
  <c r="C20" i="11"/>
  <c r="E8" i="12"/>
  <c r="C8" i="12"/>
  <c r="D8" i="12"/>
  <c r="D12" i="12" s="1"/>
  <c r="F8" i="12"/>
  <c r="G8" i="12"/>
  <c r="D9" i="12"/>
  <c r="F9" i="12"/>
  <c r="G9" i="12"/>
  <c r="H9" i="12"/>
  <c r="E9" i="12"/>
  <c r="C17" i="11"/>
  <c r="K17" i="11"/>
  <c r="H17" i="11"/>
  <c r="I17" i="11"/>
  <c r="G17" i="11"/>
  <c r="E20" i="11"/>
  <c r="C18" i="11" l="1"/>
  <c r="G18" i="11"/>
  <c r="K18" i="11"/>
  <c r="K18" i="13"/>
  <c r="J13" i="14"/>
  <c r="F16" i="15"/>
  <c r="E16" i="15"/>
  <c r="H15" i="15"/>
  <c r="F10" i="15"/>
  <c r="E10" i="15"/>
  <c r="E15" i="15"/>
  <c r="F15" i="15"/>
  <c r="F20" i="13"/>
  <c r="E22" i="13" s="1"/>
  <c r="D17" i="13"/>
  <c r="I18" i="13"/>
  <c r="I17" i="13"/>
  <c r="I20" i="13"/>
  <c r="D18" i="13"/>
  <c r="D20" i="13"/>
  <c r="F18" i="13"/>
  <c r="G20" i="13"/>
  <c r="G18" i="13"/>
  <c r="H18" i="13"/>
  <c r="J18" i="13"/>
  <c r="G17" i="13"/>
  <c r="J17" i="13"/>
  <c r="H17" i="13"/>
  <c r="I18" i="11"/>
  <c r="I23" i="11" s="1"/>
  <c r="D11" i="12"/>
  <c r="F13" i="12"/>
  <c r="G12" i="12"/>
  <c r="C11" i="12"/>
  <c r="D13" i="12"/>
  <c r="H11" i="12"/>
  <c r="F12" i="12"/>
  <c r="C12" i="12"/>
  <c r="F20" i="11"/>
  <c r="F25" i="11" s="1"/>
  <c r="I20" i="11"/>
  <c r="I25" i="11" s="1"/>
  <c r="D18" i="11"/>
  <c r="H20" i="11"/>
  <c r="H13" i="12"/>
  <c r="G13" i="12"/>
  <c r="E11" i="12"/>
  <c r="C13" i="12"/>
  <c r="G11" i="12"/>
  <c r="F11" i="12"/>
  <c r="E13" i="12"/>
  <c r="E17" i="12" s="1"/>
  <c r="H12" i="12"/>
  <c r="E12" i="12"/>
  <c r="K20" i="11"/>
  <c r="F24" i="11"/>
  <c r="C25" i="11"/>
  <c r="D20" i="11"/>
  <c r="G20" i="11"/>
  <c r="J20" i="11"/>
  <c r="K23" i="13" l="1"/>
  <c r="K28" i="13" s="1"/>
  <c r="I24" i="11"/>
  <c r="D25" i="13"/>
  <c r="J25" i="11"/>
  <c r="G25" i="11"/>
  <c r="H25" i="11"/>
  <c r="D25" i="11"/>
  <c r="G10" i="15"/>
  <c r="H10" i="15"/>
  <c r="G15" i="15"/>
  <c r="F25" i="13"/>
  <c r="F24" i="13"/>
  <c r="J23" i="13"/>
  <c r="J28" i="13" s="1"/>
  <c r="J22" i="13"/>
  <c r="J27" i="13" s="1"/>
  <c r="E25" i="13"/>
  <c r="E23" i="13"/>
  <c r="C23" i="13"/>
  <c r="K25" i="13"/>
  <c r="K30" i="13" s="1"/>
  <c r="J25" i="13"/>
  <c r="J30" i="13" s="1"/>
  <c r="K24" i="13"/>
  <c r="K29" i="13" s="1"/>
  <c r="H25" i="13"/>
  <c r="H30" i="13" s="1"/>
  <c r="C24" i="13"/>
  <c r="J24" i="13"/>
  <c r="J29" i="13" s="1"/>
  <c r="I23" i="13"/>
  <c r="I28" i="13" s="1"/>
  <c r="G23" i="13"/>
  <c r="I25" i="13"/>
  <c r="I30" i="13" s="1"/>
  <c r="I24" i="13"/>
  <c r="I29" i="13" s="1"/>
  <c r="E24" i="13"/>
  <c r="H22" i="13"/>
  <c r="H27" i="13" s="1"/>
  <c r="F22" i="13"/>
  <c r="I22" i="13"/>
  <c r="I27" i="13" s="1"/>
  <c r="H23" i="13"/>
  <c r="H28" i="13" s="1"/>
  <c r="H24" i="13"/>
  <c r="H29" i="13" s="1"/>
  <c r="K22" i="13"/>
  <c r="K27" i="13" s="1"/>
  <c r="G25" i="13"/>
  <c r="C25" i="13"/>
  <c r="D22" i="13"/>
  <c r="C22" i="13"/>
  <c r="D23" i="13"/>
  <c r="F23" i="13"/>
  <c r="D24" i="13"/>
  <c r="G22" i="13"/>
  <c r="G24" i="13"/>
  <c r="C22" i="11"/>
  <c r="K23" i="11"/>
  <c r="E24" i="11"/>
  <c r="E23" i="11"/>
  <c r="J24" i="11"/>
  <c r="D23" i="11"/>
  <c r="G24" i="11"/>
  <c r="E25" i="11"/>
  <c r="F22" i="11"/>
  <c r="H24" i="11"/>
  <c r="G23" i="11"/>
  <c r="D24" i="11"/>
  <c r="I22" i="11"/>
  <c r="H23" i="11"/>
  <c r="K25" i="11"/>
  <c r="C23" i="11"/>
  <c r="E22" i="11"/>
  <c r="H22" i="11"/>
  <c r="F23" i="11"/>
  <c r="C24" i="11"/>
  <c r="C15" i="12"/>
  <c r="G16" i="12"/>
  <c r="G15" i="12"/>
  <c r="F15" i="12"/>
  <c r="H16" i="12"/>
  <c r="D16" i="12"/>
  <c r="E15" i="12"/>
  <c r="C17" i="12"/>
  <c r="F17" i="12"/>
  <c r="D17" i="12"/>
  <c r="C16" i="12"/>
  <c r="E16" i="12"/>
  <c r="D15" i="12"/>
  <c r="H15" i="12"/>
  <c r="H17" i="12"/>
  <c r="G17" i="12"/>
  <c r="F16" i="12"/>
  <c r="J22" i="11"/>
  <c r="K24" i="11"/>
  <c r="D22" i="11"/>
  <c r="G22" i="11"/>
  <c r="J23" i="11"/>
  <c r="K22" i="11"/>
  <c r="C17" i="5"/>
  <c r="C16" i="5"/>
  <c r="C15" i="5"/>
  <c r="D17" i="5"/>
  <c r="D16" i="5"/>
  <c r="C8" i="9"/>
  <c r="C12" i="9" s="1"/>
  <c r="D8" i="9"/>
  <c r="E8" i="9"/>
  <c r="F8" i="9"/>
  <c r="F22" i="9"/>
  <c r="H10" i="9"/>
  <c r="G10" i="9"/>
  <c r="G14" i="9" s="1"/>
  <c r="G18" i="9" s="1"/>
  <c r="G22" i="9" s="1"/>
  <c r="F10" i="9"/>
  <c r="F14" i="9" s="1"/>
  <c r="F18" i="9" s="1"/>
  <c r="E10" i="9"/>
  <c r="E14" i="9" s="1"/>
  <c r="E18" i="9" s="1"/>
  <c r="D10" i="9"/>
  <c r="C10" i="9"/>
  <c r="H9" i="9"/>
  <c r="H13" i="9" s="1"/>
  <c r="G9" i="9"/>
  <c r="G13" i="9" s="1"/>
  <c r="F9" i="9"/>
  <c r="F13" i="9" s="1"/>
  <c r="E9" i="9"/>
  <c r="E13" i="9" s="1"/>
  <c r="D9" i="9"/>
  <c r="D13" i="9" s="1"/>
  <c r="C9" i="9"/>
  <c r="C13" i="9" s="1"/>
  <c r="H8" i="9"/>
  <c r="H12" i="9" s="1"/>
  <c r="G8" i="9"/>
  <c r="G12" i="9" s="1"/>
  <c r="F12" i="9"/>
  <c r="E25" i="9"/>
  <c r="D25" i="9"/>
  <c r="C25" i="9"/>
  <c r="E24" i="9"/>
  <c r="D24" i="9"/>
  <c r="C24" i="9"/>
  <c r="E23" i="9"/>
  <c r="D23" i="9"/>
  <c r="C23" i="9"/>
  <c r="E29" i="8"/>
  <c r="D29" i="8"/>
  <c r="E28" i="8"/>
  <c r="D28" i="8"/>
  <c r="E27" i="8"/>
  <c r="D27" i="8"/>
  <c r="C29" i="8"/>
  <c r="C28" i="8"/>
  <c r="C27" i="8"/>
  <c r="E21" i="8"/>
  <c r="G13" i="8"/>
  <c r="G17" i="8" s="1"/>
  <c r="G21" i="8" s="1"/>
  <c r="G25" i="8" s="1"/>
  <c r="F13" i="8"/>
  <c r="F17" i="8" s="1"/>
  <c r="F21" i="8" s="1"/>
  <c r="F25" i="8" s="1"/>
  <c r="E13" i="8"/>
  <c r="D13" i="8"/>
  <c r="D17" i="8" s="1"/>
  <c r="D21" i="8" s="1"/>
  <c r="H10" i="8"/>
  <c r="H13" i="8" s="1"/>
  <c r="H17" i="8" s="1"/>
  <c r="H21" i="8" s="1"/>
  <c r="H25" i="8" s="1"/>
  <c r="G10" i="8"/>
  <c r="F10" i="8"/>
  <c r="E10" i="8"/>
  <c r="D10" i="8"/>
  <c r="C10" i="8"/>
  <c r="C13" i="8" s="1"/>
  <c r="C17" i="8" s="1"/>
  <c r="C21" i="8" s="1"/>
  <c r="H9" i="8"/>
  <c r="H14" i="8" s="1"/>
  <c r="H18" i="8" s="1"/>
  <c r="H22" i="8" s="1"/>
  <c r="H26" i="8" s="1"/>
  <c r="G9" i="8"/>
  <c r="G14" i="8" s="1"/>
  <c r="G18" i="8" s="1"/>
  <c r="G22" i="8" s="1"/>
  <c r="G26" i="8" s="1"/>
  <c r="F9" i="8"/>
  <c r="F14" i="8" s="1"/>
  <c r="F18" i="8" s="1"/>
  <c r="F22" i="8" s="1"/>
  <c r="F26" i="8" s="1"/>
  <c r="E9" i="8"/>
  <c r="E14" i="8" s="1"/>
  <c r="E18" i="8" s="1"/>
  <c r="E22" i="8" s="1"/>
  <c r="D9" i="8"/>
  <c r="D14" i="8" s="1"/>
  <c r="D18" i="8" s="1"/>
  <c r="D22" i="8" s="1"/>
  <c r="C9" i="8"/>
  <c r="C14" i="8" s="1"/>
  <c r="C18" i="8" s="1"/>
  <c r="C22" i="8" s="1"/>
  <c r="H8" i="8"/>
  <c r="H12" i="8" s="1"/>
  <c r="G8" i="8"/>
  <c r="G12" i="8" s="1"/>
  <c r="G16" i="8" s="1"/>
  <c r="F8" i="8"/>
  <c r="F12" i="8" s="1"/>
  <c r="F16" i="8" s="1"/>
  <c r="E8" i="8"/>
  <c r="E12" i="8" s="1"/>
  <c r="E16" i="8" s="1"/>
  <c r="D8" i="8"/>
  <c r="D12" i="8" s="1"/>
  <c r="D16" i="8" s="1"/>
  <c r="D20" i="8" s="1"/>
  <c r="C8" i="8"/>
  <c r="C12" i="8" s="1"/>
  <c r="H29" i="8" l="1"/>
  <c r="E20" i="8"/>
  <c r="F20" i="8"/>
  <c r="F24" i="8" s="1"/>
  <c r="F28" i="8" s="1"/>
  <c r="H24" i="9"/>
  <c r="G20" i="8"/>
  <c r="G24" i="8" s="1"/>
  <c r="G28" i="8" s="1"/>
  <c r="H16" i="8"/>
  <c r="H20" i="8" s="1"/>
  <c r="H24" i="8" s="1"/>
  <c r="D14" i="9"/>
  <c r="D18" i="9" s="1"/>
  <c r="G29" i="8"/>
  <c r="I32" i="13"/>
  <c r="I31" i="13"/>
  <c r="I33" i="13"/>
  <c r="I34" i="13"/>
  <c r="J34" i="13"/>
  <c r="J32" i="13"/>
  <c r="J33" i="13"/>
  <c r="J31" i="13"/>
  <c r="D12" i="9"/>
  <c r="H14" i="9"/>
  <c r="H18" i="9" s="1"/>
  <c r="H22" i="9" s="1"/>
  <c r="H34" i="13"/>
  <c r="H32" i="13"/>
  <c r="H31" i="13"/>
  <c r="H33" i="13"/>
  <c r="E12" i="9"/>
  <c r="E16" i="9" s="1"/>
  <c r="F37" i="13"/>
  <c r="F38" i="13"/>
  <c r="F39" i="13"/>
  <c r="F36" i="13"/>
  <c r="K32" i="13"/>
  <c r="K31" i="13"/>
  <c r="K33" i="13"/>
  <c r="K34" i="13"/>
  <c r="G27" i="8"/>
  <c r="G14" i="15"/>
  <c r="E17" i="9"/>
  <c r="F17" i="9"/>
  <c r="F21" i="9" s="1"/>
  <c r="G17" i="9"/>
  <c r="G21" i="9" s="1"/>
  <c r="G23" i="9" s="1"/>
  <c r="G16" i="9"/>
  <c r="G20" i="9" s="1"/>
  <c r="F16" i="9"/>
  <c r="F20" i="9" s="1"/>
  <c r="H17" i="9"/>
  <c r="H21" i="9" s="1"/>
  <c r="H16" i="9"/>
  <c r="H20" i="9" s="1"/>
  <c r="H25" i="9" s="1"/>
  <c r="C14" i="9"/>
  <c r="C18" i="9" s="1"/>
  <c r="C16" i="8"/>
  <c r="C20" i="8" s="1"/>
  <c r="C17" i="3"/>
  <c r="P17" i="5"/>
  <c r="O17" i="5"/>
  <c r="N17" i="5"/>
  <c r="M17" i="5"/>
  <c r="L17" i="5"/>
  <c r="K17" i="5"/>
  <c r="E22" i="6"/>
  <c r="F22" i="6"/>
  <c r="G22" i="6"/>
  <c r="E23" i="6"/>
  <c r="F23" i="6"/>
  <c r="G23" i="6"/>
  <c r="F21" i="6"/>
  <c r="G21" i="6"/>
  <c r="E21" i="6"/>
  <c r="P16" i="5"/>
  <c r="O16" i="5"/>
  <c r="N16" i="5"/>
  <c r="M16" i="5"/>
  <c r="L16" i="5"/>
  <c r="K16" i="5"/>
  <c r="P15" i="5"/>
  <c r="O15" i="5"/>
  <c r="N15" i="5"/>
  <c r="M15" i="5"/>
  <c r="L15" i="5"/>
  <c r="K15" i="5"/>
  <c r="E31" i="5"/>
  <c r="F31" i="5"/>
  <c r="E32" i="5"/>
  <c r="F32" i="5"/>
  <c r="E33" i="5"/>
  <c r="F33" i="5"/>
  <c r="D32" i="5"/>
  <c r="D33" i="5"/>
  <c r="D31" i="5"/>
  <c r="I19" i="5"/>
  <c r="I21" i="5"/>
  <c r="I25" i="5" s="1"/>
  <c r="I30" i="5" s="1"/>
  <c r="D21" i="5"/>
  <c r="D25" i="5" s="1"/>
  <c r="E17" i="5"/>
  <c r="F17" i="5"/>
  <c r="F21" i="5" s="1"/>
  <c r="G17" i="5"/>
  <c r="G21" i="5" s="1"/>
  <c r="G25" i="5" s="1"/>
  <c r="G30" i="5" s="1"/>
  <c r="H17" i="5"/>
  <c r="H21" i="5" s="1"/>
  <c r="H25" i="5" s="1"/>
  <c r="H30" i="5" s="1"/>
  <c r="I17" i="5"/>
  <c r="E16" i="5"/>
  <c r="F16" i="5"/>
  <c r="F20" i="5" s="1"/>
  <c r="G16" i="5"/>
  <c r="G20" i="5" s="1"/>
  <c r="G24" i="5" s="1"/>
  <c r="G29" i="5" s="1"/>
  <c r="H16" i="5"/>
  <c r="I16" i="5"/>
  <c r="I20" i="5" s="1"/>
  <c r="I24" i="5" s="1"/>
  <c r="I29" i="5" s="1"/>
  <c r="D20" i="5"/>
  <c r="D24" i="5" s="1"/>
  <c r="I15" i="5"/>
  <c r="H15" i="5"/>
  <c r="G15" i="5"/>
  <c r="F15" i="5"/>
  <c r="E15" i="5"/>
  <c r="D15" i="5"/>
  <c r="D19" i="5" s="1"/>
  <c r="D10" i="4"/>
  <c r="E10" i="4"/>
  <c r="D11" i="4"/>
  <c r="E11" i="4"/>
  <c r="D12" i="4"/>
  <c r="E12" i="4"/>
  <c r="C11" i="4"/>
  <c r="C12" i="4"/>
  <c r="C10" i="4"/>
  <c r="G10" i="4" s="1"/>
  <c r="F8" i="4"/>
  <c r="G8" i="4"/>
  <c r="H8" i="4"/>
  <c r="F9" i="4"/>
  <c r="G9" i="4"/>
  <c r="H9" i="4"/>
  <c r="G7" i="4"/>
  <c r="G11" i="4" s="1"/>
  <c r="H7" i="4"/>
  <c r="F7" i="4"/>
  <c r="D17" i="3"/>
  <c r="E17" i="3"/>
  <c r="D18" i="3"/>
  <c r="E18" i="3"/>
  <c r="D19" i="3"/>
  <c r="E19" i="3"/>
  <c r="C18" i="3"/>
  <c r="C19" i="3"/>
  <c r="D8" i="3"/>
  <c r="D7" i="3"/>
  <c r="D6" i="3"/>
  <c r="C8" i="3"/>
  <c r="C7" i="3"/>
  <c r="C6" i="3"/>
  <c r="B8" i="3"/>
  <c r="B7" i="3"/>
  <c r="B6" i="3"/>
  <c r="C15" i="2"/>
  <c r="D15" i="2"/>
  <c r="E15" i="2"/>
  <c r="C16" i="2"/>
  <c r="D16" i="2"/>
  <c r="E16" i="2"/>
  <c r="D14" i="2"/>
  <c r="E14" i="2"/>
  <c r="C14" i="2"/>
  <c r="F24" i="5" l="1"/>
  <c r="C24" i="5"/>
  <c r="F12" i="4"/>
  <c r="F24" i="9"/>
  <c r="D16" i="9"/>
  <c r="H28" i="8"/>
  <c r="H27" i="8"/>
  <c r="G12" i="4"/>
  <c r="F19" i="5"/>
  <c r="E20" i="5"/>
  <c r="E24" i="5" s="1"/>
  <c r="C20" i="5"/>
  <c r="H10" i="4"/>
  <c r="H11" i="4"/>
  <c r="F25" i="5"/>
  <c r="C25" i="5"/>
  <c r="G24" i="9"/>
  <c r="G25" i="9"/>
  <c r="E21" i="5"/>
  <c r="E25" i="5" s="1"/>
  <c r="C21" i="5"/>
  <c r="E19" i="5"/>
  <c r="E23" i="5" s="1"/>
  <c r="C19" i="5"/>
  <c r="F27" i="8"/>
  <c r="D17" i="9"/>
  <c r="F29" i="8"/>
  <c r="H23" i="9"/>
  <c r="F10" i="4"/>
  <c r="E14" i="15"/>
  <c r="F14" i="15"/>
  <c r="H14" i="15"/>
  <c r="G19" i="5"/>
  <c r="G23" i="5" s="1"/>
  <c r="G28" i="5" s="1"/>
  <c r="G32" i="5" s="1"/>
  <c r="I23" i="5"/>
  <c r="I28" i="5" s="1"/>
  <c r="I33" i="5" s="1"/>
  <c r="D23" i="5"/>
  <c r="H19" i="5"/>
  <c r="H23" i="5" s="1"/>
  <c r="H28" i="5" s="1"/>
  <c r="F23" i="9"/>
  <c r="C17" i="9"/>
  <c r="C16" i="9"/>
  <c r="F25" i="9"/>
  <c r="C7" i="6"/>
  <c r="H12" i="4"/>
  <c r="H20" i="5"/>
  <c r="H24" i="5" s="1"/>
  <c r="H29" i="5" s="1"/>
  <c r="F11" i="4"/>
  <c r="G33" i="5" l="1"/>
  <c r="I31" i="5"/>
  <c r="G31" i="5"/>
  <c r="F23" i="5"/>
  <c r="C23" i="5"/>
  <c r="H32" i="5"/>
  <c r="I32" i="5"/>
  <c r="K7" i="6"/>
  <c r="I7" i="6"/>
  <c r="J7" i="6"/>
  <c r="H7" i="6"/>
  <c r="B7" i="6"/>
  <c r="C6" i="6"/>
  <c r="E7" i="6"/>
  <c r="G7" i="6"/>
  <c r="F7" i="6"/>
  <c r="C8" i="6"/>
  <c r="H31" i="5"/>
  <c r="H33" i="5"/>
  <c r="J8" i="6" l="1"/>
  <c r="H8" i="6"/>
  <c r="K8" i="6"/>
  <c r="I8" i="6"/>
  <c r="I11" i="6"/>
  <c r="K11" i="6"/>
  <c r="E6" i="6"/>
  <c r="K6" i="6"/>
  <c r="H6" i="6"/>
  <c r="J6" i="6"/>
  <c r="I6" i="6"/>
  <c r="B6" i="6"/>
  <c r="G6" i="6"/>
  <c r="F6" i="6"/>
  <c r="B8" i="6"/>
  <c r="E8" i="6"/>
  <c r="G8" i="6"/>
  <c r="F8" i="6"/>
  <c r="C11" i="6"/>
  <c r="B11" i="6" s="1"/>
  <c r="K12" i="6" l="1"/>
  <c r="H12" i="6"/>
  <c r="J12" i="6"/>
  <c r="K10" i="6"/>
  <c r="J11" i="6"/>
  <c r="I12" i="6"/>
  <c r="H11" i="6"/>
  <c r="F11" i="6"/>
  <c r="C10" i="6"/>
  <c r="I10" i="6" s="1"/>
  <c r="F10" i="6"/>
  <c r="E11" i="6"/>
  <c r="C12" i="6"/>
  <c r="B12" i="6" s="1"/>
  <c r="G11" i="6"/>
  <c r="H10" i="6" l="1"/>
  <c r="J10" i="6"/>
  <c r="G10" i="6"/>
  <c r="F12" i="6"/>
  <c r="B10" i="6"/>
  <c r="E10" i="6"/>
  <c r="G12" i="6"/>
  <c r="C15" i="6" s="1"/>
  <c r="E12" i="6"/>
  <c r="G15" i="6" l="1"/>
  <c r="K15" i="6"/>
  <c r="I15" i="6"/>
  <c r="I19" i="6" s="1"/>
  <c r="H15" i="6"/>
  <c r="C14" i="6"/>
  <c r="H14" i="6"/>
  <c r="J15" i="6"/>
  <c r="F14" i="6"/>
  <c r="B15" i="6"/>
  <c r="F15" i="6"/>
  <c r="J19" i="6"/>
  <c r="K19" i="6"/>
  <c r="E15" i="6"/>
  <c r="C16" i="6"/>
  <c r="B14" i="6" l="1"/>
  <c r="I14" i="6"/>
  <c r="I18" i="6" s="1"/>
  <c r="K14" i="6"/>
  <c r="K18" i="6" s="1"/>
  <c r="B16" i="6"/>
  <c r="K16" i="6"/>
  <c r="K20" i="6" s="1"/>
  <c r="J16" i="6"/>
  <c r="H16" i="6"/>
  <c r="I16" i="6"/>
  <c r="I20" i="6" s="1"/>
  <c r="E14" i="6"/>
  <c r="G14" i="6"/>
  <c r="J14" i="6"/>
  <c r="J18" i="6" s="1"/>
  <c r="G16" i="6"/>
  <c r="F16" i="6"/>
  <c r="E16" i="6"/>
  <c r="J20" i="6"/>
  <c r="I21" i="6" l="1" a="1"/>
  <c r="J23" i="6" s="1"/>
  <c r="K23" i="6" l="1"/>
  <c r="K21" i="6"/>
  <c r="I22" i="6"/>
  <c r="J22" i="6"/>
  <c r="I23" i="6"/>
  <c r="J21" i="6"/>
  <c r="I21" i="6"/>
  <c r="K22" i="6"/>
</calcChain>
</file>

<file path=xl/sharedStrings.xml><?xml version="1.0" encoding="utf-8"?>
<sst xmlns="http://schemas.openxmlformats.org/spreadsheetml/2006/main" count="189" uniqueCount="99">
  <si>
    <r>
      <t>a</t>
    </r>
    <r>
      <rPr>
        <vertAlign val="subscript"/>
        <sz val="12"/>
        <color theme="1"/>
        <rFont val="Calibri (Textkörper)"/>
      </rPr>
      <t>11</t>
    </r>
    <r>
      <rPr>
        <sz val="12"/>
        <color theme="1"/>
        <rFont val="Calibri"/>
        <family val="2"/>
        <scheme val="minor"/>
      </rPr>
      <t xml:space="preserve"> = 2</t>
    </r>
  </si>
  <si>
    <r>
      <t>a</t>
    </r>
    <r>
      <rPr>
        <vertAlign val="subscript"/>
        <sz val="12"/>
        <color theme="1"/>
        <rFont val="Calibri (Textkörper)"/>
      </rPr>
      <t>12</t>
    </r>
    <r>
      <rPr>
        <sz val="12"/>
        <color theme="1"/>
        <rFont val="Calibri"/>
        <family val="2"/>
        <scheme val="minor"/>
      </rPr>
      <t xml:space="preserve"> = 3</t>
    </r>
  </si>
  <si>
    <r>
      <t>a</t>
    </r>
    <r>
      <rPr>
        <vertAlign val="subscript"/>
        <sz val="12"/>
        <color theme="1"/>
        <rFont val="Calibri (Textkörper)"/>
      </rPr>
      <t>13</t>
    </r>
    <r>
      <rPr>
        <sz val="12"/>
        <color theme="1"/>
        <rFont val="Calibri"/>
        <family val="2"/>
        <scheme val="minor"/>
      </rPr>
      <t xml:space="preserve"> = 8</t>
    </r>
  </si>
  <si>
    <r>
      <t>a</t>
    </r>
    <r>
      <rPr>
        <vertAlign val="subscript"/>
        <sz val="12"/>
        <color theme="1"/>
        <rFont val="Calibri (Textkörper)"/>
      </rPr>
      <t>21</t>
    </r>
    <r>
      <rPr>
        <sz val="12"/>
        <color theme="1"/>
        <rFont val="Calibri"/>
        <family val="2"/>
        <scheme val="minor"/>
      </rPr>
      <t xml:space="preserve"> = 5</t>
    </r>
  </si>
  <si>
    <r>
      <t>a</t>
    </r>
    <r>
      <rPr>
        <vertAlign val="subscript"/>
        <sz val="12"/>
        <color theme="1"/>
        <rFont val="Calibri (Textkörper)"/>
      </rPr>
      <t>22</t>
    </r>
    <r>
      <rPr>
        <sz val="12"/>
        <color theme="1"/>
        <rFont val="Calibri"/>
        <family val="2"/>
        <scheme val="minor"/>
      </rPr>
      <t xml:space="preserve"> = 2</t>
    </r>
  </si>
  <si>
    <r>
      <t>a</t>
    </r>
    <r>
      <rPr>
        <vertAlign val="subscript"/>
        <sz val="12"/>
        <color theme="1"/>
        <rFont val="Calibri (Textkörper)"/>
      </rPr>
      <t>23</t>
    </r>
    <r>
      <rPr>
        <sz val="12"/>
        <color theme="1"/>
        <rFont val="Calibri"/>
        <family val="2"/>
        <scheme val="minor"/>
      </rPr>
      <t xml:space="preserve"> = 4</t>
    </r>
  </si>
  <si>
    <r>
      <t>a</t>
    </r>
    <r>
      <rPr>
        <vertAlign val="subscript"/>
        <sz val="12"/>
        <color theme="1"/>
        <rFont val="Calibri (Textkörper)"/>
      </rPr>
      <t>31</t>
    </r>
    <r>
      <rPr>
        <sz val="12"/>
        <color theme="1"/>
        <rFont val="Calibri"/>
        <family val="2"/>
        <scheme val="minor"/>
      </rPr>
      <t xml:space="preserve"> = 8</t>
    </r>
  </si>
  <si>
    <r>
      <t>a</t>
    </r>
    <r>
      <rPr>
        <vertAlign val="subscript"/>
        <sz val="12"/>
        <color theme="1"/>
        <rFont val="Calibri (Textkörper)"/>
      </rPr>
      <t>32</t>
    </r>
    <r>
      <rPr>
        <sz val="12"/>
        <color theme="1"/>
        <rFont val="Calibri"/>
        <family val="2"/>
        <scheme val="minor"/>
      </rPr>
      <t xml:space="preserve"> = 7</t>
    </r>
  </si>
  <si>
    <r>
      <t>a</t>
    </r>
    <r>
      <rPr>
        <vertAlign val="subscript"/>
        <sz val="12"/>
        <color theme="1"/>
        <rFont val="Calibri (Textkörper)"/>
      </rPr>
      <t>33</t>
    </r>
    <r>
      <rPr>
        <sz val="12"/>
        <color theme="1"/>
        <rFont val="Calibri"/>
        <family val="2"/>
        <scheme val="minor"/>
      </rPr>
      <t xml:space="preserve"> = 1</t>
    </r>
  </si>
  <si>
    <r>
      <t>a</t>
    </r>
    <r>
      <rPr>
        <vertAlign val="subscript"/>
        <sz val="12"/>
        <color theme="1"/>
        <rFont val="Calibri (Textkörper)"/>
      </rPr>
      <t>32</t>
    </r>
    <r>
      <rPr>
        <sz val="12"/>
        <color theme="1"/>
        <rFont val="Calibri"/>
        <family val="2"/>
        <scheme val="minor"/>
      </rPr>
      <t xml:space="preserve"> -&gt; 3 Zeile | 2 Spalte -&gt; a</t>
    </r>
    <r>
      <rPr>
        <vertAlign val="subscript"/>
        <sz val="12"/>
        <color theme="1"/>
        <rFont val="Calibri (Textkörper)"/>
      </rPr>
      <t>32</t>
    </r>
    <r>
      <rPr>
        <sz val="12"/>
        <color theme="1"/>
        <rFont val="Calibri"/>
        <family val="2"/>
        <scheme val="minor"/>
      </rPr>
      <t xml:space="preserve"> = 7</t>
    </r>
  </si>
  <si>
    <t>Multiplikation mit einer Zahl | x = 4</t>
  </si>
  <si>
    <t>x</t>
  </si>
  <si>
    <r>
      <t>S</t>
    </r>
    <r>
      <rPr>
        <vertAlign val="subscript"/>
        <sz val="12"/>
        <color theme="1"/>
        <rFont val="Calibri (Textkörper)"/>
      </rPr>
      <t>1</t>
    </r>
  </si>
  <si>
    <r>
      <t>S</t>
    </r>
    <r>
      <rPr>
        <vertAlign val="subscript"/>
        <sz val="12"/>
        <color theme="1"/>
        <rFont val="Calibri (Textkörper)"/>
      </rPr>
      <t>2</t>
    </r>
    <r>
      <rPr>
        <sz val="12"/>
        <color theme="1"/>
        <rFont val="Calibri"/>
        <family val="2"/>
        <scheme val="minor"/>
      </rPr>
      <t/>
    </r>
  </si>
  <si>
    <r>
      <t>S</t>
    </r>
    <r>
      <rPr>
        <vertAlign val="subscript"/>
        <sz val="12"/>
        <color theme="1"/>
        <rFont val="Calibri (Textkörper)"/>
      </rPr>
      <t>3</t>
    </r>
    <r>
      <rPr>
        <sz val="12"/>
        <color theme="1"/>
        <rFont val="Calibri"/>
        <family val="2"/>
        <scheme val="minor"/>
      </rPr>
      <t/>
    </r>
  </si>
  <si>
    <r>
      <t>x</t>
    </r>
    <r>
      <rPr>
        <vertAlign val="subscript"/>
        <sz val="12"/>
        <color theme="1"/>
        <rFont val="Calibri (Textkörper)"/>
      </rPr>
      <t>11</t>
    </r>
  </si>
  <si>
    <r>
      <t>x</t>
    </r>
    <r>
      <rPr>
        <vertAlign val="subscript"/>
        <sz val="12"/>
        <color theme="1"/>
        <rFont val="Calibri (Textkörper)"/>
      </rPr>
      <t>12</t>
    </r>
    <r>
      <rPr>
        <sz val="12"/>
        <color theme="1"/>
        <rFont val="Calibri"/>
        <family val="2"/>
        <scheme val="minor"/>
      </rPr>
      <t/>
    </r>
  </si>
  <si>
    <r>
      <t>x</t>
    </r>
    <r>
      <rPr>
        <vertAlign val="subscript"/>
        <sz val="12"/>
        <color theme="1"/>
        <rFont val="Calibri (Textkörper)"/>
      </rPr>
      <t>13</t>
    </r>
    <r>
      <rPr>
        <sz val="12"/>
        <color theme="1"/>
        <rFont val="Calibri"/>
        <family val="2"/>
        <scheme val="minor"/>
      </rPr>
      <t/>
    </r>
  </si>
  <si>
    <r>
      <t>x</t>
    </r>
    <r>
      <rPr>
        <vertAlign val="subscript"/>
        <sz val="12"/>
        <color theme="1"/>
        <rFont val="Calibri (Textkörper)"/>
      </rPr>
      <t>21</t>
    </r>
  </si>
  <si>
    <r>
      <t>x</t>
    </r>
    <r>
      <rPr>
        <vertAlign val="subscript"/>
        <sz val="12"/>
        <color theme="1"/>
        <rFont val="Calibri (Textkörper)"/>
      </rPr>
      <t>22</t>
    </r>
  </si>
  <si>
    <r>
      <t>x</t>
    </r>
    <r>
      <rPr>
        <vertAlign val="subscript"/>
        <sz val="12"/>
        <color theme="1"/>
        <rFont val="Calibri (Textkörper)"/>
      </rPr>
      <t>23</t>
    </r>
  </si>
  <si>
    <r>
      <t>x</t>
    </r>
    <r>
      <rPr>
        <vertAlign val="subscript"/>
        <sz val="12"/>
        <color theme="1"/>
        <rFont val="Calibri (Textkörper)"/>
      </rPr>
      <t>31</t>
    </r>
  </si>
  <si>
    <r>
      <t>x</t>
    </r>
    <r>
      <rPr>
        <vertAlign val="subscript"/>
        <sz val="12"/>
        <color theme="1"/>
        <rFont val="Calibri (Textkörper)"/>
      </rPr>
      <t>32</t>
    </r>
  </si>
  <si>
    <r>
      <t>x</t>
    </r>
    <r>
      <rPr>
        <vertAlign val="subscript"/>
        <sz val="12"/>
        <color theme="1"/>
        <rFont val="Calibri (Textkörper)"/>
      </rPr>
      <t>33</t>
    </r>
  </si>
  <si>
    <t>[I]</t>
  </si>
  <si>
    <t>[II]</t>
  </si>
  <si>
    <t>[III]</t>
  </si>
  <si>
    <r>
      <rPr>
        <sz val="12"/>
        <color rgb="FF00B0F0"/>
        <rFont val="Calibri (Textkörper)"/>
      </rPr>
      <t>[I]</t>
    </r>
    <r>
      <rPr>
        <sz val="12"/>
        <color theme="1"/>
        <rFont val="Calibri"/>
        <family val="2"/>
        <scheme val="minor"/>
      </rPr>
      <t xml:space="preserve"> = </t>
    </r>
    <r>
      <rPr>
        <sz val="12"/>
        <color rgb="FFFF0000"/>
        <rFont val="Calibri (Textkörper)"/>
      </rPr>
      <t>[I]</t>
    </r>
  </si>
  <si>
    <r>
      <rPr>
        <sz val="12"/>
        <color rgb="FF00B0F0"/>
        <rFont val="Calibri (Textkörper)"/>
      </rPr>
      <t>[II]</t>
    </r>
    <r>
      <rPr>
        <sz val="12"/>
        <color theme="1"/>
        <rFont val="Calibri"/>
        <family val="2"/>
        <scheme val="minor"/>
      </rPr>
      <t xml:space="preserve"> = </t>
    </r>
    <r>
      <rPr>
        <sz val="12"/>
        <color rgb="FFFF0000"/>
        <rFont val="Calibri (Textkörper)"/>
      </rPr>
      <t>[II]</t>
    </r>
    <r>
      <rPr>
        <sz val="12"/>
        <color theme="1"/>
        <rFont val="Calibri"/>
        <family val="2"/>
        <scheme val="minor"/>
      </rPr>
      <t xml:space="preserve"> - 2 * </t>
    </r>
    <r>
      <rPr>
        <sz val="12"/>
        <color rgb="FFFF0000"/>
        <rFont val="Calibri (Textkörper)"/>
      </rPr>
      <t>[I]</t>
    </r>
  </si>
  <si>
    <r>
      <rPr>
        <sz val="12"/>
        <color rgb="FF00B0F0"/>
        <rFont val="Calibri (Textkörper)"/>
      </rPr>
      <t>[III]</t>
    </r>
    <r>
      <rPr>
        <sz val="12"/>
        <color theme="1"/>
        <rFont val="Calibri"/>
        <family val="2"/>
        <scheme val="minor"/>
      </rPr>
      <t xml:space="preserve"> = </t>
    </r>
    <r>
      <rPr>
        <sz val="12"/>
        <color rgb="FFFF0000"/>
        <rFont val="Calibri (Textkörper)"/>
      </rPr>
      <t>[III]</t>
    </r>
    <r>
      <rPr>
        <sz val="12"/>
        <color theme="1"/>
        <rFont val="Calibri"/>
        <family val="2"/>
        <scheme val="minor"/>
      </rPr>
      <t xml:space="preserve"> - 4 * </t>
    </r>
    <r>
      <rPr>
        <sz val="12"/>
        <color rgb="FFFF0000"/>
        <rFont val="Calibri (Textkörper)"/>
      </rPr>
      <t>[I]</t>
    </r>
  </si>
  <si>
    <r>
      <rPr>
        <sz val="12"/>
        <color theme="7" tint="-0.249977111117893"/>
        <rFont val="Calibri (Textkörper)"/>
      </rPr>
      <t>[III]</t>
    </r>
    <r>
      <rPr>
        <sz val="12"/>
        <color theme="1"/>
        <rFont val="Calibri"/>
        <family val="2"/>
        <scheme val="minor"/>
      </rPr>
      <t xml:space="preserve"> = </t>
    </r>
    <r>
      <rPr>
        <sz val="12"/>
        <color rgb="FF00B0F0"/>
        <rFont val="Calibri (Textkörper)"/>
      </rPr>
      <t>[III]</t>
    </r>
  </si>
  <si>
    <r>
      <rPr>
        <sz val="12"/>
        <color theme="7" tint="-0.249977111117893"/>
        <rFont val="Calibri (Textkörper)"/>
      </rPr>
      <t>[I]</t>
    </r>
    <r>
      <rPr>
        <sz val="12"/>
        <color theme="1"/>
        <rFont val="Calibri"/>
        <family val="2"/>
        <scheme val="minor"/>
      </rPr>
      <t xml:space="preserve"> = </t>
    </r>
    <r>
      <rPr>
        <sz val="12"/>
        <color rgb="FF00B0F0"/>
        <rFont val="Calibri (Textkörper)"/>
      </rPr>
      <t>[I]</t>
    </r>
    <r>
      <rPr>
        <sz val="12"/>
        <color theme="1"/>
        <rFont val="Calibri"/>
        <family val="2"/>
        <scheme val="minor"/>
      </rPr>
      <t xml:space="preserve"> - </t>
    </r>
    <r>
      <rPr>
        <sz val="12"/>
        <color rgb="FF00B0F0"/>
        <rFont val="Calibri (Textkörper)"/>
      </rPr>
      <t>[II]</t>
    </r>
  </si>
  <si>
    <r>
      <rPr>
        <sz val="12"/>
        <color theme="7" tint="-0.249977111117893"/>
        <rFont val="Calibri (Textkörper)"/>
      </rPr>
      <t>[II]</t>
    </r>
    <r>
      <rPr>
        <sz val="12"/>
        <color theme="1"/>
        <rFont val="Calibri"/>
        <family val="2"/>
        <scheme val="minor"/>
      </rPr>
      <t xml:space="preserve"> = </t>
    </r>
    <r>
      <rPr>
        <sz val="12"/>
        <color rgb="FF00B0F0"/>
        <rFont val="Calibri (Textkörper)"/>
      </rPr>
      <t>[II]</t>
    </r>
    <r>
      <rPr>
        <sz val="12"/>
        <color theme="1"/>
        <rFont val="Calibri"/>
        <family val="2"/>
        <scheme val="minor"/>
      </rPr>
      <t xml:space="preserve"> / 2</t>
    </r>
  </si>
  <si>
    <r>
      <rPr>
        <sz val="12"/>
        <color rgb="FF7030A0"/>
        <rFont val="Calibri (Textkörper)"/>
      </rPr>
      <t>[II]</t>
    </r>
    <r>
      <rPr>
        <sz val="12"/>
        <color theme="1"/>
        <rFont val="Calibri"/>
        <family val="2"/>
        <scheme val="minor"/>
      </rPr>
      <t xml:space="preserve"> = </t>
    </r>
    <r>
      <rPr>
        <sz val="12"/>
        <color theme="7" tint="-0.249977111117893"/>
        <rFont val="Calibri (Textkörper)"/>
      </rPr>
      <t>[II]</t>
    </r>
  </si>
  <si>
    <r>
      <rPr>
        <sz val="12"/>
        <color rgb="FF7030A0"/>
        <rFont val="Calibri (Textkörper)"/>
      </rPr>
      <t>[I]</t>
    </r>
    <r>
      <rPr>
        <sz val="12"/>
        <color theme="1"/>
        <rFont val="Calibri"/>
        <family val="2"/>
        <scheme val="minor"/>
      </rPr>
      <t xml:space="preserve"> = </t>
    </r>
    <r>
      <rPr>
        <sz val="12"/>
        <color theme="7" tint="-0.249977111117893"/>
        <rFont val="Calibri (Textkörper)"/>
      </rPr>
      <t>[I]</t>
    </r>
    <r>
      <rPr>
        <sz val="12"/>
        <color theme="1"/>
        <rFont val="Calibri"/>
        <family val="2"/>
        <scheme val="minor"/>
      </rPr>
      <t xml:space="preserve"> - </t>
    </r>
    <r>
      <rPr>
        <sz val="12"/>
        <color theme="7" tint="-0.249977111117893"/>
        <rFont val="Calibri (Textkörper)"/>
      </rPr>
      <t>[III]</t>
    </r>
  </si>
  <si>
    <r>
      <rPr>
        <sz val="12"/>
        <color rgb="FF7030A0"/>
        <rFont val="Calibri (Textkörper)"/>
      </rPr>
      <t>[III]</t>
    </r>
    <r>
      <rPr>
        <sz val="12"/>
        <color theme="1"/>
        <rFont val="Calibri"/>
        <family val="2"/>
        <scheme val="minor"/>
      </rPr>
      <t xml:space="preserve"> = </t>
    </r>
    <r>
      <rPr>
        <sz val="12"/>
        <color theme="7" tint="-0.249977111117893"/>
        <rFont val="Calibri (Textkörper)"/>
      </rPr>
      <t>[III]</t>
    </r>
    <r>
      <rPr>
        <sz val="12"/>
        <color theme="1"/>
        <rFont val="Calibri"/>
        <family val="2"/>
        <scheme val="minor"/>
      </rPr>
      <t xml:space="preserve"> / 4</t>
    </r>
  </si>
  <si>
    <t>1. Index = Zeile | 2. Index = Spalte</t>
  </si>
  <si>
    <t>[I] = [I]</t>
  </si>
  <si>
    <t>[III] = [III] - [I]</t>
  </si>
  <si>
    <t>[II] = [II] - [I]</t>
  </si>
  <si>
    <t>[I] = [I] - 3 * [III]</t>
  </si>
  <si>
    <t>[III] = [III]</t>
  </si>
  <si>
    <t>[II] = [III]</t>
  </si>
  <si>
    <t>[III] = [II]</t>
  </si>
  <si>
    <t>[I] = [I] - 3 * [II]</t>
  </si>
  <si>
    <t>[II] = [II]</t>
  </si>
  <si>
    <t>+</t>
  </si>
  <si>
    <t>-</t>
  </si>
  <si>
    <t>*</t>
  </si>
  <si>
    <t>/</t>
  </si>
  <si>
    <t>Zeilentausch</t>
  </si>
  <si>
    <t>[I] = [I] / 2</t>
  </si>
  <si>
    <t>[II] = [II] + [I]</t>
  </si>
  <si>
    <t>[III] = [III] - [I] / 2</t>
  </si>
  <si>
    <t>[I] = [I] - [II]</t>
  </si>
  <si>
    <t>[III] = [III] + [II]</t>
  </si>
  <si>
    <t>[I] = [I] + 3 * [III]</t>
  </si>
  <si>
    <t>[II] = [II] + 2 * [III]</t>
  </si>
  <si>
    <t xml:space="preserve">[III] = 2 * [III] </t>
  </si>
  <si>
    <r>
      <t>[I] = [I] - a</t>
    </r>
    <r>
      <rPr>
        <vertAlign val="subscript"/>
        <sz val="12"/>
        <color theme="1"/>
        <rFont val="Calibri (Textkörper)"/>
      </rPr>
      <t>13</t>
    </r>
    <r>
      <rPr>
        <sz val="12"/>
        <color theme="1"/>
        <rFont val="Calibri"/>
        <family val="2"/>
        <scheme val="minor"/>
      </rPr>
      <t>/a</t>
    </r>
    <r>
      <rPr>
        <vertAlign val="subscript"/>
        <sz val="12"/>
        <color theme="1"/>
        <rFont val="Calibri (Textkörper)"/>
      </rPr>
      <t>33</t>
    </r>
    <r>
      <rPr>
        <sz val="12"/>
        <color theme="1"/>
        <rFont val="Calibri"/>
        <family val="2"/>
        <scheme val="minor"/>
      </rPr>
      <t xml:space="preserve"> * [III]</t>
    </r>
  </si>
  <si>
    <r>
      <t>[II] = [II] - a</t>
    </r>
    <r>
      <rPr>
        <vertAlign val="subscript"/>
        <sz val="12"/>
        <color theme="1"/>
        <rFont val="Calibri (Textkörper)"/>
      </rPr>
      <t>23</t>
    </r>
    <r>
      <rPr>
        <sz val="12"/>
        <color theme="1"/>
        <rFont val="Calibri"/>
        <family val="2"/>
        <scheme val="minor"/>
      </rPr>
      <t>/a</t>
    </r>
    <r>
      <rPr>
        <vertAlign val="subscript"/>
        <sz val="12"/>
        <color theme="1"/>
        <rFont val="Calibri (Textkörper)"/>
      </rPr>
      <t>33</t>
    </r>
    <r>
      <rPr>
        <sz val="12"/>
        <color theme="1"/>
        <rFont val="Calibri"/>
        <family val="2"/>
        <scheme val="minor"/>
      </rPr>
      <t xml:space="preserve"> * [III]</t>
    </r>
  </si>
  <si>
    <r>
      <t>[III] = [III] /a</t>
    </r>
    <r>
      <rPr>
        <vertAlign val="subscript"/>
        <sz val="12"/>
        <color theme="1"/>
        <rFont val="Calibri (Textkörper)"/>
      </rPr>
      <t>33</t>
    </r>
  </si>
  <si>
    <r>
      <t>[IV] = [IV] - a</t>
    </r>
    <r>
      <rPr>
        <vertAlign val="subscript"/>
        <sz val="12"/>
        <color theme="1"/>
        <rFont val="Calibri (Textkörper)"/>
      </rPr>
      <t>43</t>
    </r>
    <r>
      <rPr>
        <sz val="12"/>
        <color theme="1"/>
        <rFont val="Calibri"/>
        <family val="2"/>
        <scheme val="minor"/>
      </rPr>
      <t>/a</t>
    </r>
    <r>
      <rPr>
        <vertAlign val="subscript"/>
        <sz val="12"/>
        <color theme="1"/>
        <rFont val="Calibri (Textkörper)"/>
      </rPr>
      <t>33</t>
    </r>
    <r>
      <rPr>
        <sz val="12"/>
        <color theme="1"/>
        <rFont val="Calibri"/>
        <family val="2"/>
        <scheme val="minor"/>
      </rPr>
      <t xml:space="preserve"> * [III]</t>
    </r>
  </si>
  <si>
    <r>
      <t>[I] = [I] - a</t>
    </r>
    <r>
      <rPr>
        <vertAlign val="subscript"/>
        <sz val="12"/>
        <color theme="1"/>
        <rFont val="Calibri (Textkörper)"/>
      </rPr>
      <t>14</t>
    </r>
    <r>
      <rPr>
        <sz val="12"/>
        <color theme="1"/>
        <rFont val="Calibri"/>
        <family val="2"/>
        <scheme val="minor"/>
      </rPr>
      <t>/a</t>
    </r>
    <r>
      <rPr>
        <vertAlign val="subscript"/>
        <sz val="12"/>
        <color theme="1"/>
        <rFont val="Calibri (Textkörper)"/>
      </rPr>
      <t>44</t>
    </r>
    <r>
      <rPr>
        <sz val="12"/>
        <color theme="1"/>
        <rFont val="Calibri"/>
        <family val="2"/>
        <scheme val="minor"/>
      </rPr>
      <t xml:space="preserve"> * [IV]</t>
    </r>
  </si>
  <si>
    <r>
      <t>[II] = [II] - a</t>
    </r>
    <r>
      <rPr>
        <vertAlign val="subscript"/>
        <sz val="12"/>
        <color theme="1"/>
        <rFont val="Calibri (Textkörper)"/>
      </rPr>
      <t>24</t>
    </r>
    <r>
      <rPr>
        <sz val="12"/>
        <color theme="1"/>
        <rFont val="Calibri"/>
        <family val="2"/>
        <scheme val="minor"/>
      </rPr>
      <t>/a</t>
    </r>
    <r>
      <rPr>
        <vertAlign val="subscript"/>
        <sz val="12"/>
        <color theme="1"/>
        <rFont val="Calibri (Textkörper)"/>
      </rPr>
      <t>44</t>
    </r>
    <r>
      <rPr>
        <sz val="12"/>
        <color theme="1"/>
        <rFont val="Calibri"/>
        <family val="2"/>
        <scheme val="minor"/>
      </rPr>
      <t xml:space="preserve"> * [IV]</t>
    </r>
  </si>
  <si>
    <r>
      <t>[III] = [III] - a</t>
    </r>
    <r>
      <rPr>
        <vertAlign val="subscript"/>
        <sz val="12"/>
        <color theme="1"/>
        <rFont val="Calibri (Textkörper)"/>
      </rPr>
      <t>34</t>
    </r>
    <r>
      <rPr>
        <sz val="12"/>
        <color theme="1"/>
        <rFont val="Calibri"/>
        <family val="2"/>
        <scheme val="minor"/>
      </rPr>
      <t>/a</t>
    </r>
    <r>
      <rPr>
        <vertAlign val="subscript"/>
        <sz val="12"/>
        <color theme="1"/>
        <rFont val="Calibri (Textkörper)"/>
      </rPr>
      <t>44</t>
    </r>
    <r>
      <rPr>
        <sz val="12"/>
        <color theme="1"/>
        <rFont val="Calibri"/>
        <family val="2"/>
        <scheme val="minor"/>
      </rPr>
      <t xml:space="preserve"> * [IV]</t>
    </r>
  </si>
  <si>
    <r>
      <t>[IV] = [IV] /a</t>
    </r>
    <r>
      <rPr>
        <vertAlign val="subscript"/>
        <sz val="12"/>
        <color theme="1"/>
        <rFont val="Calibri (Textkörper)"/>
      </rPr>
      <t>44</t>
    </r>
  </si>
  <si>
    <r>
      <t>[I] = [I] / a</t>
    </r>
    <r>
      <rPr>
        <vertAlign val="subscript"/>
        <sz val="12"/>
        <color theme="1"/>
        <rFont val="Calibri (Textkörper)"/>
      </rPr>
      <t>11</t>
    </r>
  </si>
  <si>
    <r>
      <t>[II] = [II] - a</t>
    </r>
    <r>
      <rPr>
        <vertAlign val="subscript"/>
        <sz val="12"/>
        <color theme="1"/>
        <rFont val="Calibri (Textkörper)"/>
      </rPr>
      <t>21</t>
    </r>
    <r>
      <rPr>
        <sz val="12"/>
        <color theme="1"/>
        <rFont val="Calibri"/>
        <family val="2"/>
        <scheme val="minor"/>
      </rPr>
      <t>/a</t>
    </r>
    <r>
      <rPr>
        <vertAlign val="subscript"/>
        <sz val="12"/>
        <color theme="1"/>
        <rFont val="Calibri (Textkörper)"/>
      </rPr>
      <t>11</t>
    </r>
    <r>
      <rPr>
        <sz val="12"/>
        <color theme="1"/>
        <rFont val="Calibri"/>
        <family val="2"/>
        <scheme val="minor"/>
      </rPr>
      <t xml:space="preserve"> * [I]</t>
    </r>
  </si>
  <si>
    <r>
      <t>[III] = [III] - a</t>
    </r>
    <r>
      <rPr>
        <vertAlign val="subscript"/>
        <sz val="12"/>
        <color theme="1"/>
        <rFont val="Calibri (Textkörper)"/>
      </rPr>
      <t>31</t>
    </r>
    <r>
      <rPr>
        <sz val="12"/>
        <color theme="1"/>
        <rFont val="Calibri"/>
        <family val="2"/>
        <scheme val="minor"/>
      </rPr>
      <t>/a</t>
    </r>
    <r>
      <rPr>
        <vertAlign val="subscript"/>
        <sz val="12"/>
        <color theme="1"/>
        <rFont val="Calibri (Textkörper)"/>
      </rPr>
      <t>11</t>
    </r>
    <r>
      <rPr>
        <sz val="12"/>
        <color theme="1"/>
        <rFont val="Calibri"/>
        <family val="2"/>
        <scheme val="minor"/>
      </rPr>
      <t xml:space="preserve"> * [I]</t>
    </r>
  </si>
  <si>
    <r>
      <t>[I] = [I] - a</t>
    </r>
    <r>
      <rPr>
        <vertAlign val="subscript"/>
        <sz val="12"/>
        <color theme="1"/>
        <rFont val="Calibri (Textkörper)"/>
      </rPr>
      <t>12</t>
    </r>
    <r>
      <rPr>
        <sz val="12"/>
        <color theme="1"/>
        <rFont val="Calibri"/>
        <family val="2"/>
        <scheme val="minor"/>
      </rPr>
      <t>/a</t>
    </r>
    <r>
      <rPr>
        <vertAlign val="subscript"/>
        <sz val="12"/>
        <color theme="1"/>
        <rFont val="Calibri (Textkörper)"/>
      </rPr>
      <t>22</t>
    </r>
    <r>
      <rPr>
        <sz val="12"/>
        <color theme="1"/>
        <rFont val="Calibri"/>
        <family val="2"/>
        <scheme val="minor"/>
      </rPr>
      <t xml:space="preserve"> * [II]</t>
    </r>
  </si>
  <si>
    <r>
      <t>[II] = [II] / a</t>
    </r>
    <r>
      <rPr>
        <vertAlign val="subscript"/>
        <sz val="12"/>
        <color theme="1"/>
        <rFont val="Calibri (Textkörper)"/>
      </rPr>
      <t>22</t>
    </r>
  </si>
  <si>
    <r>
      <t>[III] = [III] - a</t>
    </r>
    <r>
      <rPr>
        <vertAlign val="subscript"/>
        <sz val="12"/>
        <color theme="1"/>
        <rFont val="Calibri (Textkörper)"/>
      </rPr>
      <t>32</t>
    </r>
    <r>
      <rPr>
        <sz val="12"/>
        <color theme="1"/>
        <rFont val="Calibri"/>
        <family val="2"/>
        <scheme val="minor"/>
      </rPr>
      <t>/a</t>
    </r>
    <r>
      <rPr>
        <vertAlign val="subscript"/>
        <sz val="12"/>
        <color theme="1"/>
        <rFont val="Calibri (Textkörper)"/>
      </rPr>
      <t>22</t>
    </r>
    <r>
      <rPr>
        <sz val="12"/>
        <color theme="1"/>
        <rFont val="Calibri"/>
        <family val="2"/>
        <scheme val="minor"/>
      </rPr>
      <t xml:space="preserve"> * [II]</t>
    </r>
  </si>
  <si>
    <r>
      <t>[III] = [III] / a</t>
    </r>
    <r>
      <rPr>
        <vertAlign val="subscript"/>
        <sz val="12"/>
        <color theme="1"/>
        <rFont val="Calibri (Textkörper)"/>
      </rPr>
      <t>33</t>
    </r>
  </si>
  <si>
    <r>
      <t>[IV] = [IV] - a</t>
    </r>
    <r>
      <rPr>
        <vertAlign val="subscript"/>
        <sz val="12"/>
        <color theme="1"/>
        <rFont val="Calibri (Textkörper)"/>
      </rPr>
      <t>41</t>
    </r>
    <r>
      <rPr>
        <sz val="12"/>
        <color theme="1"/>
        <rFont val="Calibri"/>
        <family val="2"/>
        <scheme val="minor"/>
      </rPr>
      <t>/a</t>
    </r>
    <r>
      <rPr>
        <vertAlign val="subscript"/>
        <sz val="12"/>
        <color theme="1"/>
        <rFont val="Calibri (Textkörper)"/>
      </rPr>
      <t>11</t>
    </r>
    <r>
      <rPr>
        <sz val="12"/>
        <color theme="1"/>
        <rFont val="Calibri"/>
        <family val="2"/>
        <scheme val="minor"/>
      </rPr>
      <t xml:space="preserve"> * [I]</t>
    </r>
  </si>
  <si>
    <r>
      <t>[IV] = [IV] - a</t>
    </r>
    <r>
      <rPr>
        <vertAlign val="subscript"/>
        <sz val="12"/>
        <color theme="1"/>
        <rFont val="Calibri (Textkörper)"/>
      </rPr>
      <t>42</t>
    </r>
    <r>
      <rPr>
        <sz val="12"/>
        <color theme="1"/>
        <rFont val="Calibri"/>
        <family val="2"/>
        <scheme val="minor"/>
      </rPr>
      <t>/a</t>
    </r>
    <r>
      <rPr>
        <vertAlign val="subscript"/>
        <sz val="12"/>
        <color theme="1"/>
        <rFont val="Calibri (Textkörper)"/>
      </rPr>
      <t>22</t>
    </r>
    <r>
      <rPr>
        <sz val="12"/>
        <color theme="1"/>
        <rFont val="Calibri"/>
        <family val="2"/>
        <scheme val="minor"/>
      </rPr>
      <t xml:space="preserve"> * [II]</t>
    </r>
  </si>
  <si>
    <r>
      <t>x</t>
    </r>
    <r>
      <rPr>
        <vertAlign val="subscript"/>
        <sz val="12"/>
        <color theme="1"/>
        <rFont val="Calibri (Textkörper)"/>
      </rPr>
      <t>1</t>
    </r>
  </si>
  <si>
    <r>
      <t>x</t>
    </r>
    <r>
      <rPr>
        <vertAlign val="subscript"/>
        <sz val="12"/>
        <color theme="1"/>
        <rFont val="Calibri (Textkörper)"/>
      </rPr>
      <t>2</t>
    </r>
    <r>
      <rPr>
        <sz val="12"/>
        <color theme="1"/>
        <rFont val="Calibri"/>
        <family val="2"/>
        <scheme val="minor"/>
      </rPr>
      <t/>
    </r>
  </si>
  <si>
    <r>
      <t>y</t>
    </r>
    <r>
      <rPr>
        <vertAlign val="subscript"/>
        <sz val="12"/>
        <color theme="1"/>
        <rFont val="Calibri (Textkörper)"/>
      </rPr>
      <t>1</t>
    </r>
  </si>
  <si>
    <r>
      <t>y</t>
    </r>
    <r>
      <rPr>
        <vertAlign val="subscript"/>
        <sz val="12"/>
        <color theme="1"/>
        <rFont val="Calibri (Textkörper)"/>
      </rPr>
      <t>2</t>
    </r>
    <r>
      <rPr>
        <sz val="12"/>
        <color theme="1"/>
        <rFont val="Calibri"/>
        <family val="2"/>
        <scheme val="minor"/>
      </rPr>
      <t/>
    </r>
  </si>
  <si>
    <r>
      <t>y</t>
    </r>
    <r>
      <rPr>
        <vertAlign val="subscript"/>
        <sz val="12"/>
        <color theme="1"/>
        <rFont val="Calibri (Textkörper)"/>
      </rPr>
      <t>3</t>
    </r>
    <r>
      <rPr>
        <sz val="12"/>
        <color theme="1"/>
        <rFont val="Calibri"/>
        <family val="2"/>
        <scheme val="minor"/>
      </rPr>
      <t/>
    </r>
  </si>
  <si>
    <t>Z</t>
  </si>
  <si>
    <t>b</t>
  </si>
  <si>
    <r>
      <t>b / a</t>
    </r>
    <r>
      <rPr>
        <vertAlign val="subscript"/>
        <sz val="12"/>
        <color theme="1"/>
        <rFont val="Calibri (Textkörper)"/>
      </rPr>
      <t>i1</t>
    </r>
  </si>
  <si>
    <r>
      <t>b / a</t>
    </r>
    <r>
      <rPr>
        <vertAlign val="subscript"/>
        <sz val="12"/>
        <color theme="1"/>
        <rFont val="Calibri (Textkörper)"/>
      </rPr>
      <t>i2</t>
    </r>
  </si>
  <si>
    <r>
      <t>y</t>
    </r>
    <r>
      <rPr>
        <vertAlign val="subscript"/>
        <sz val="12"/>
        <color theme="1"/>
        <rFont val="Calibri (Textkörper)"/>
      </rPr>
      <t>2</t>
    </r>
  </si>
  <si>
    <r>
      <t>x</t>
    </r>
    <r>
      <rPr>
        <b/>
        <vertAlign val="subscript"/>
        <sz val="12"/>
        <color rgb="FF00B0F0"/>
        <rFont val="Calibri (Textkörper)"/>
      </rPr>
      <t>1</t>
    </r>
  </si>
  <si>
    <r>
      <t>x</t>
    </r>
    <r>
      <rPr>
        <b/>
        <vertAlign val="subscript"/>
        <sz val="12"/>
        <color rgb="FFFF0000"/>
        <rFont val="Calibri (Textkörper)"/>
      </rPr>
      <t>2</t>
    </r>
    <r>
      <rPr>
        <sz val="12"/>
        <color theme="1"/>
        <rFont val="Calibri"/>
        <family val="2"/>
        <scheme val="minor"/>
      </rPr>
      <t/>
    </r>
  </si>
  <si>
    <r>
      <t>y</t>
    </r>
    <r>
      <rPr>
        <b/>
        <vertAlign val="subscript"/>
        <sz val="12"/>
        <color theme="9" tint="-0.249977111117893"/>
        <rFont val="Calibri (Textkörper)"/>
      </rPr>
      <t>1</t>
    </r>
  </si>
  <si>
    <r>
      <t>x</t>
    </r>
    <r>
      <rPr>
        <vertAlign val="subscript"/>
        <sz val="12"/>
        <color theme="1"/>
        <rFont val="Calibri (Textkörper)"/>
      </rPr>
      <t>2</t>
    </r>
  </si>
  <si>
    <r>
      <t>x</t>
    </r>
    <r>
      <rPr>
        <vertAlign val="subscript"/>
        <sz val="14"/>
        <color theme="1"/>
        <rFont val="Calibri (Textkörper)"/>
      </rPr>
      <t>1</t>
    </r>
  </si>
  <si>
    <r>
      <t>x</t>
    </r>
    <r>
      <rPr>
        <vertAlign val="subscript"/>
        <sz val="14"/>
        <color theme="1"/>
        <rFont val="Calibri (Textkörper)"/>
      </rPr>
      <t>2</t>
    </r>
    <r>
      <rPr>
        <sz val="12"/>
        <color theme="1"/>
        <rFont val="Calibri"/>
        <family val="2"/>
        <scheme val="minor"/>
      </rPr>
      <t/>
    </r>
  </si>
  <si>
    <r>
      <t>x</t>
    </r>
    <r>
      <rPr>
        <vertAlign val="subscript"/>
        <sz val="14"/>
        <color theme="1"/>
        <rFont val="Calibri (Textkörper)"/>
      </rPr>
      <t>3</t>
    </r>
    <r>
      <rPr>
        <sz val="12"/>
        <color theme="1"/>
        <rFont val="Calibri"/>
        <family val="2"/>
        <scheme val="minor"/>
      </rPr>
      <t/>
    </r>
  </si>
  <si>
    <r>
      <t>[I] = [I] / a</t>
    </r>
    <r>
      <rPr>
        <vertAlign val="subscript"/>
        <sz val="14"/>
        <color theme="1"/>
        <rFont val="Calibri (Textkörper)"/>
      </rPr>
      <t>11</t>
    </r>
  </si>
  <si>
    <r>
      <t>[II] = [II] - a</t>
    </r>
    <r>
      <rPr>
        <vertAlign val="subscript"/>
        <sz val="14"/>
        <color theme="1"/>
        <rFont val="Calibri (Textkörper)"/>
      </rPr>
      <t>21</t>
    </r>
    <r>
      <rPr>
        <sz val="14"/>
        <color theme="1"/>
        <rFont val="Calibri"/>
        <family val="2"/>
        <scheme val="minor"/>
      </rPr>
      <t>/a</t>
    </r>
    <r>
      <rPr>
        <vertAlign val="subscript"/>
        <sz val="14"/>
        <color theme="1"/>
        <rFont val="Calibri (Textkörper)"/>
      </rPr>
      <t>11</t>
    </r>
    <r>
      <rPr>
        <sz val="14"/>
        <color theme="1"/>
        <rFont val="Calibri"/>
        <family val="2"/>
        <scheme val="minor"/>
      </rPr>
      <t xml:space="preserve"> * [I]</t>
    </r>
  </si>
  <si>
    <r>
      <t>[III] = [III] - a</t>
    </r>
    <r>
      <rPr>
        <vertAlign val="subscript"/>
        <sz val="14"/>
        <color theme="1"/>
        <rFont val="Calibri (Textkörper)"/>
      </rPr>
      <t>31</t>
    </r>
    <r>
      <rPr>
        <sz val="14"/>
        <color theme="1"/>
        <rFont val="Calibri"/>
        <family val="2"/>
        <scheme val="minor"/>
      </rPr>
      <t>/a</t>
    </r>
    <r>
      <rPr>
        <vertAlign val="subscript"/>
        <sz val="14"/>
        <color theme="1"/>
        <rFont val="Calibri (Textkörper)"/>
      </rPr>
      <t>11</t>
    </r>
    <r>
      <rPr>
        <sz val="14"/>
        <color theme="1"/>
        <rFont val="Calibri"/>
        <family val="2"/>
        <scheme val="minor"/>
      </rPr>
      <t xml:space="preserve"> * [I]</t>
    </r>
  </si>
  <si>
    <r>
      <t>[II] = [II] / a</t>
    </r>
    <r>
      <rPr>
        <vertAlign val="subscript"/>
        <sz val="14"/>
        <color theme="1"/>
        <rFont val="Calibri (Textkörper)"/>
      </rPr>
      <t>22</t>
    </r>
  </si>
  <si>
    <r>
      <t>[III] = [III] - a</t>
    </r>
    <r>
      <rPr>
        <vertAlign val="subscript"/>
        <sz val="14"/>
        <color theme="1"/>
        <rFont val="Calibri (Textkörper)"/>
      </rPr>
      <t>32</t>
    </r>
    <r>
      <rPr>
        <sz val="14"/>
        <color theme="1"/>
        <rFont val="Calibri"/>
        <family val="2"/>
        <scheme val="minor"/>
      </rPr>
      <t>/a</t>
    </r>
    <r>
      <rPr>
        <vertAlign val="subscript"/>
        <sz val="14"/>
        <color theme="1"/>
        <rFont val="Calibri (Textkörper)"/>
      </rPr>
      <t>22</t>
    </r>
    <r>
      <rPr>
        <sz val="14"/>
        <color theme="1"/>
        <rFont val="Calibri"/>
        <family val="2"/>
        <scheme val="minor"/>
      </rPr>
      <t xml:space="preserve"> * [II]</t>
    </r>
  </si>
  <si>
    <r>
      <t>[III] = [III] / a</t>
    </r>
    <r>
      <rPr>
        <vertAlign val="subscript"/>
        <sz val="14"/>
        <color theme="1"/>
        <rFont val="Calibri (Textkörper)"/>
      </rPr>
      <t>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</si>
</sst>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 x14ac:knownFonts="1">
    <font>
      <sz val="12"/>
      <color theme="1"/>
      <name val="Calibri"/>
      <family val="2"/>
      <scheme val="minor"/>
    </font>
    <font>
      <vertAlign val="subscript"/>
      <sz val="12"/>
      <color theme="1"/>
      <name val="Calibri (Textkörper)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2"/>
      <color rgb="FF00B0F0"/>
      <name val="Calibri (Textkörper)"/>
    </font>
    <font>
      <sz val="12"/>
      <color rgb="FFFF0000"/>
      <name val="Calibri (Textkörper)"/>
    </font>
    <font>
      <b/>
      <sz val="12"/>
      <color theme="7" tint="-0.249977111117893"/>
      <name val="Calibri"/>
      <family val="2"/>
      <scheme val="minor"/>
    </font>
    <font>
      <sz val="12"/>
      <color theme="7" tint="-0.249977111117893"/>
      <name val="Calibri (Textkörper)"/>
    </font>
    <font>
      <b/>
      <sz val="12"/>
      <color rgb="FF7030A0"/>
      <name val="Calibri"/>
      <family val="2"/>
      <scheme val="minor"/>
    </font>
    <font>
      <sz val="12"/>
      <color rgb="FF7030A0"/>
      <name val="Calibri (Textkörper)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vertAlign val="subscript"/>
      <sz val="12"/>
      <color rgb="FF00B0F0"/>
      <name val="Calibri (Textkörper)"/>
    </font>
    <font>
      <b/>
      <vertAlign val="subscript"/>
      <sz val="12"/>
      <color rgb="FFFF0000"/>
      <name val="Calibri (Textkörper)"/>
    </font>
    <font>
      <b/>
      <sz val="12"/>
      <color theme="9" tint="-0.249977111117893"/>
      <name val="Calibri"/>
      <family val="2"/>
      <scheme val="minor"/>
    </font>
    <font>
      <b/>
      <vertAlign val="subscript"/>
      <sz val="12"/>
      <color theme="9" tint="-0.249977111117893"/>
      <name val="Calibri (Textkörper)"/>
    </font>
    <font>
      <vertAlign val="subscript"/>
      <sz val="14"/>
      <color theme="1"/>
      <name val="Calibri (Textkörper)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3" xfId="0" applyNumberFormat="1" applyBorder="1"/>
    <xf numFmtId="164" fontId="0" fillId="0" borderId="0" xfId="0" applyNumberFormat="1"/>
    <xf numFmtId="164" fontId="0" fillId="0" borderId="4" xfId="0" applyNumberFormat="1" applyBorder="1"/>
    <xf numFmtId="0" fontId="0" fillId="0" borderId="3" xfId="0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7" fillId="0" borderId="0" xfId="0" applyFont="1"/>
    <xf numFmtId="0" fontId="9" fillId="0" borderId="0" xfId="0" applyFont="1"/>
    <xf numFmtId="0" fontId="11" fillId="0" borderId="0" xfId="0" applyFont="1"/>
    <xf numFmtId="0" fontId="11" fillId="0" borderId="3" xfId="0" applyFont="1" applyBorder="1"/>
    <xf numFmtId="1" fontId="11" fillId="0" borderId="0" xfId="0" applyNumberFormat="1" applyFont="1" applyAlignment="1">
      <alignment horizontal="right"/>
    </xf>
    <xf numFmtId="0" fontId="11" fillId="0" borderId="1" xfId="0" applyFont="1" applyBorder="1"/>
    <xf numFmtId="1" fontId="11" fillId="0" borderId="1" xfId="0" applyNumberFormat="1" applyFont="1" applyBorder="1" applyAlignment="1">
      <alignment horizontal="right"/>
    </xf>
    <xf numFmtId="1" fontId="11" fillId="0" borderId="3" xfId="0" applyNumberFormat="1" applyFont="1" applyBorder="1" applyAlignment="1">
      <alignment horizontal="right"/>
    </xf>
    <xf numFmtId="1" fontId="11" fillId="0" borderId="2" xfId="0" applyNumberFormat="1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1" fillId="3" borderId="0" xfId="0" applyFont="1" applyFill="1"/>
    <xf numFmtId="0" fontId="11" fillId="4" borderId="0" xfId="0" applyFont="1" applyFill="1"/>
    <xf numFmtId="0" fontId="11" fillId="2" borderId="0" xfId="0" applyFont="1" applyFill="1"/>
    <xf numFmtId="0" fontId="11" fillId="0" borderId="2" xfId="0" applyFont="1" applyBorder="1"/>
    <xf numFmtId="0" fontId="11" fillId="4" borderId="3" xfId="0" applyFont="1" applyFill="1" applyBorder="1"/>
    <xf numFmtId="0" fontId="11" fillId="5" borderId="0" xfId="0" applyFont="1" applyFill="1"/>
    <xf numFmtId="0" fontId="0" fillId="5" borderId="0" xfId="0" applyFill="1"/>
    <xf numFmtId="0" fontId="11" fillId="0" borderId="5" xfId="0" applyFont="1" applyBorder="1"/>
    <xf numFmtId="0" fontId="0" fillId="6" borderId="5" xfId="0" applyFill="1" applyBorder="1"/>
    <xf numFmtId="2" fontId="0" fillId="2" borderId="0" xfId="0" applyNumberFormat="1" applyFill="1"/>
    <xf numFmtId="2" fontId="0" fillId="0" borderId="0" xfId="0" applyNumberFormat="1"/>
    <xf numFmtId="2" fontId="0" fillId="5" borderId="0" xfId="0" applyNumberFormat="1" applyFill="1"/>
    <xf numFmtId="165" fontId="0" fillId="0" borderId="0" xfId="0" applyNumberFormat="1"/>
    <xf numFmtId="165" fontId="0" fillId="5" borderId="0" xfId="0" applyNumberFormat="1" applyFill="1"/>
    <xf numFmtId="165" fontId="0" fillId="6" borderId="5" xfId="0" applyNumberFormat="1" applyFill="1" applyBorder="1"/>
    <xf numFmtId="165" fontId="0" fillId="2" borderId="0" xfId="0" applyNumberFormat="1" applyFill="1"/>
    <xf numFmtId="1" fontId="0" fillId="0" borderId="0" xfId="0" applyNumberFormat="1"/>
    <xf numFmtId="165" fontId="0" fillId="0" borderId="1" xfId="0" applyNumberFormat="1" applyBorder="1"/>
    <xf numFmtId="165" fontId="0" fillId="0" borderId="3" xfId="0" applyNumberFormat="1" applyBorder="1"/>
    <xf numFmtId="165" fontId="0" fillId="0" borderId="2" xfId="0" applyNumberFormat="1" applyBorder="1"/>
    <xf numFmtId="1" fontId="0" fillId="0" borderId="3" xfId="0" applyNumberFormat="1" applyBorder="1"/>
    <xf numFmtId="0" fontId="0" fillId="6" borderId="0" xfId="0" applyFill="1"/>
    <xf numFmtId="166" fontId="0" fillId="2" borderId="0" xfId="0" applyNumberFormat="1" applyFill="1"/>
    <xf numFmtId="166" fontId="0" fillId="0" borderId="0" xfId="0" applyNumberFormat="1"/>
    <xf numFmtId="166" fontId="0" fillId="5" borderId="0" xfId="0" applyNumberFormat="1" applyFill="1"/>
    <xf numFmtId="0" fontId="0" fillId="0" borderId="6" xfId="0" applyBorder="1" applyAlignment="1">
      <alignment horizontal="right"/>
    </xf>
    <xf numFmtId="0" fontId="0" fillId="2" borderId="3" xfId="0" applyFill="1" applyBorder="1"/>
    <xf numFmtId="0" fontId="0" fillId="0" borderId="5" xfId="0" applyBorder="1"/>
    <xf numFmtId="164" fontId="0" fillId="0" borderId="7" xfId="0" applyNumberFormat="1" applyBorder="1"/>
    <xf numFmtId="0" fontId="0" fillId="5" borderId="3" xfId="0" applyFill="1" applyBorder="1"/>
    <xf numFmtId="164" fontId="0" fillId="5" borderId="2" xfId="0" applyNumberFormat="1" applyFill="1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right"/>
    </xf>
    <xf numFmtId="0" fontId="0" fillId="2" borderId="4" xfId="0" applyFill="1" applyBorder="1"/>
    <xf numFmtId="164" fontId="13" fillId="5" borderId="3" xfId="0" applyNumberFormat="1" applyFont="1" applyFill="1" applyBorder="1"/>
    <xf numFmtId="0" fontId="0" fillId="2" borderId="1" xfId="0" applyFill="1" applyBorder="1"/>
    <xf numFmtId="0" fontId="0" fillId="0" borderId="6" xfId="0" applyBorder="1"/>
    <xf numFmtId="164" fontId="0" fillId="0" borderId="2" xfId="0" applyNumberFormat="1" applyBorder="1"/>
    <xf numFmtId="0" fontId="0" fillId="5" borderId="4" xfId="0" applyFill="1" applyBorder="1"/>
    <xf numFmtId="0" fontId="4" fillId="0" borderId="2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16" fillId="0" borderId="4" xfId="0" applyFont="1" applyBorder="1"/>
    <xf numFmtId="166" fontId="0" fillId="0" borderId="4" xfId="0" applyNumberFormat="1" applyBorder="1"/>
    <xf numFmtId="0" fontId="16" fillId="0" borderId="3" xfId="0" applyFont="1" applyBorder="1"/>
    <xf numFmtId="0" fontId="3" fillId="0" borderId="3" xfId="0" applyFont="1" applyBorder="1"/>
    <xf numFmtId="0" fontId="4" fillId="0" borderId="3" xfId="0" applyFont="1" applyBorder="1"/>
    <xf numFmtId="166" fontId="0" fillId="0" borderId="1" xfId="0" applyNumberFormat="1" applyBorder="1"/>
    <xf numFmtId="0" fontId="12" fillId="6" borderId="7" xfId="0" applyFont="1" applyFill="1" applyBorder="1"/>
    <xf numFmtId="0" fontId="11" fillId="0" borderId="9" xfId="0" applyFont="1" applyBorder="1"/>
    <xf numFmtId="0" fontId="11" fillId="0" borderId="3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50799</xdr:colOff>
      <xdr:row>2</xdr:row>
      <xdr:rowOff>207433</xdr:rowOff>
    </xdr:from>
    <xdr:ext cx="1193019" cy="2862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6C887CC7-226C-C743-83F9-D628099BBB68}"/>
                </a:ext>
              </a:extLst>
            </xdr:cNvPr>
            <xdr:cNvSpPr txBox="1"/>
          </xdr:nvSpPr>
          <xdr:spPr>
            <a:xfrm>
              <a:off x="1329266" y="613833"/>
              <a:ext cx="1193019" cy="286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8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de-DE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de-DE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e>
                      <m:sup>
                        <m:r>
                          <a:rPr lang="de-DE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de-DE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de-DE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𝐸</m:t>
                    </m:r>
                  </m:oMath>
                </m:oMathPara>
              </a14:m>
              <a:endParaRPr lang="de-DE" sz="18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6C887CC7-226C-C743-83F9-D628099BBB68}"/>
                </a:ext>
              </a:extLst>
            </xdr:cNvPr>
            <xdr:cNvSpPr txBox="1"/>
          </xdr:nvSpPr>
          <xdr:spPr>
            <a:xfrm>
              <a:off x="1329266" y="613833"/>
              <a:ext cx="1193019" cy="286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800" b="0" i="0">
                  <a:latin typeface="Cambria Math" panose="02040503050406030204" pitchFamily="18" charset="0"/>
                </a:rPr>
                <a:t>𝐴</a:t>
              </a:r>
              <a:r>
                <a:rPr lang="de-DE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×𝐴^(−1)=𝐸</a:t>
              </a:r>
              <a:endParaRPr lang="de-DE" sz="18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249766</xdr:colOff>
      <xdr:row>10</xdr:row>
      <xdr:rowOff>42334</xdr:rowOff>
    </xdr:from>
    <xdr:ext cx="100174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55CEB42F-3BFE-E448-9AD9-FE426CD53F96}"/>
                </a:ext>
              </a:extLst>
            </xdr:cNvPr>
            <xdr:cNvSpPr txBox="1"/>
          </xdr:nvSpPr>
          <xdr:spPr>
            <a:xfrm>
              <a:off x="6481233" y="2497667"/>
              <a:ext cx="10017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</a:rPr>
                      <m:t>+0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</a:rPr>
                      <m:t>=−1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55CEB42F-3BFE-E448-9AD9-FE426CD53F96}"/>
                </a:ext>
              </a:extLst>
            </xdr:cNvPr>
            <xdr:cNvSpPr txBox="1"/>
          </xdr:nvSpPr>
          <xdr:spPr>
            <a:xfrm>
              <a:off x="6481233" y="2497667"/>
              <a:ext cx="10017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i="0">
                  <a:latin typeface="Cambria Math" panose="02040503050406030204" pitchFamily="18" charset="0"/>
                </a:rPr>
                <a:t>〖</a:t>
              </a:r>
              <a:r>
                <a:rPr lang="de-DE" sz="1100" b="0" i="0">
                  <a:latin typeface="Cambria Math" panose="02040503050406030204" pitchFamily="18" charset="0"/>
                </a:rPr>
                <a:t>1𝑥〗_2+0𝑥_3=−1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8</xdr:col>
      <xdr:colOff>241300</xdr:colOff>
      <xdr:row>5</xdr:row>
      <xdr:rowOff>50799</xdr:rowOff>
    </xdr:from>
    <xdr:ext cx="29594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feld 2">
              <a:extLst>
                <a:ext uri="{FF2B5EF4-FFF2-40B4-BE49-F238E27FC236}">
                  <a16:creationId xmlns:a16="http://schemas.microsoft.com/office/drawing/2014/main" id="{7878255C-0BB2-0744-899A-D965CD3B1AAD}"/>
                </a:ext>
              </a:extLst>
            </xdr:cNvPr>
            <xdr:cNvSpPr txBox="1"/>
          </xdr:nvSpPr>
          <xdr:spPr>
            <a:xfrm>
              <a:off x="6472767" y="1278466"/>
              <a:ext cx="29594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</a:rPr>
                      <m:t>+4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</a:rPr>
                      <m:t>=2→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</a:rPr>
                      <m:t>−2−2=2→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</a:rPr>
                      <m:t>=6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3" name="Textfeld 2">
              <a:extLst>
                <a:ext uri="{FF2B5EF4-FFF2-40B4-BE49-F238E27FC236}">
                  <a16:creationId xmlns:a16="http://schemas.microsoft.com/office/drawing/2014/main" id="{7878255C-0BB2-0744-899A-D965CD3B1AAD}"/>
                </a:ext>
              </a:extLst>
            </xdr:cNvPr>
            <xdr:cNvSpPr txBox="1"/>
          </xdr:nvSpPr>
          <xdr:spPr>
            <a:xfrm>
              <a:off x="6472767" y="1278466"/>
              <a:ext cx="29594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i="0">
                  <a:latin typeface="Cambria Math" panose="02040503050406030204" pitchFamily="18" charset="0"/>
                </a:rPr>
                <a:t>〖</a:t>
              </a:r>
              <a:r>
                <a:rPr lang="de-DE" sz="1100" b="0" i="0">
                  <a:latin typeface="Cambria Math" panose="02040503050406030204" pitchFamily="18" charset="0"/>
                </a:rPr>
                <a:t>1𝑥〗_1+2𝑥_2+4𝑥_3=2→𝑥_1−2−2=2→𝑥_1=6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8</xdr:col>
      <xdr:colOff>262466</xdr:colOff>
      <xdr:row>15</xdr:row>
      <xdr:rowOff>42335</xdr:rowOff>
    </xdr:from>
    <xdr:ext cx="72340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E85D0064-37CE-164B-BC8B-6BDA2D1A80CE}"/>
                </a:ext>
              </a:extLst>
            </xdr:cNvPr>
            <xdr:cNvSpPr txBox="1"/>
          </xdr:nvSpPr>
          <xdr:spPr>
            <a:xfrm>
              <a:off x="6493933" y="3725335"/>
              <a:ext cx="7234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latin typeface="Cambria Math" panose="02040503050406030204" pitchFamily="18" charset="0"/>
                      </a:rPr>
                      <m:t>1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</a:rPr>
                      <m:t>=−0,5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E85D0064-37CE-164B-BC8B-6BDA2D1A80CE}"/>
                </a:ext>
              </a:extLst>
            </xdr:cNvPr>
            <xdr:cNvSpPr txBox="1"/>
          </xdr:nvSpPr>
          <xdr:spPr>
            <a:xfrm>
              <a:off x="6493933" y="3725335"/>
              <a:ext cx="7234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latin typeface="Cambria Math" panose="02040503050406030204" pitchFamily="18" charset="0"/>
                </a:rPr>
                <a:t>1</a:t>
              </a:r>
              <a:r>
                <a:rPr lang="de-DE" sz="1100" b="0" i="0">
                  <a:latin typeface="Cambria Math" panose="02040503050406030204" pitchFamily="18" charset="0"/>
                </a:rPr>
                <a:t>𝑥_3=−0,5</a:t>
              </a:r>
              <a:endParaRPr lang="de-DE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817337</xdr:colOff>
      <xdr:row>21</xdr:row>
      <xdr:rowOff>14515</xdr:rowOff>
    </xdr:from>
    <xdr:ext cx="6150786" cy="3130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83859463-3F04-564E-A5FF-DAF4DC7C96AD}"/>
                </a:ext>
              </a:extLst>
            </xdr:cNvPr>
            <xdr:cNvSpPr txBox="1"/>
          </xdr:nvSpPr>
          <xdr:spPr>
            <a:xfrm>
              <a:off x="817337" y="4586515"/>
              <a:ext cx="6150786" cy="313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de-DE" sz="2000" b="0" i="1">
                        <a:latin typeface="Cambria Math" panose="02040503050406030204" pitchFamily="18" charset="0"/>
                      </a:rPr>
                      <m:t>=10  </m:t>
                    </m:r>
                    <m:d>
                      <m:dPr>
                        <m:begChr m:val="|"/>
                        <m:endChr m:val="|"/>
                        <m:ctrlPr>
                          <a:rPr lang="de-DE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  </m:t>
                        </m:r>
                        <m:sSub>
                          <m:sSubPr>
                            <m:ctrlPr>
                              <a:rPr lang="de-DE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de-DE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=2  </m:t>
                        </m:r>
                      </m:e>
                    </m:d>
                    <m:r>
                      <a:rPr lang="de-DE" sz="2000" b="0" i="1"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de-DE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de-DE" sz="2000" b="0" i="1">
                        <a:latin typeface="Cambria Math" panose="02040503050406030204" pitchFamily="18" charset="0"/>
                      </a:rPr>
                      <m:t>=8  </m:t>
                    </m:r>
                    <m:d>
                      <m:dPr>
                        <m:begChr m:val="|"/>
                        <m:endChr m:val="|"/>
                        <m:ctrlPr>
                          <a:rPr lang="de-DE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  </m:t>
                        </m:r>
                        <m:sSub>
                          <m:sSubPr>
                            <m:ctrlPr>
                              <a:rPr lang="de-DE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20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de-DE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=0  </m:t>
                        </m:r>
                      </m:e>
                    </m:d>
                    <m:r>
                      <a:rPr lang="de-DE" sz="2000" b="0" i="1"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de-DE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de-DE" sz="2000" b="0" i="1">
                        <a:latin typeface="Cambria Math" panose="02040503050406030204" pitchFamily="18" charset="0"/>
                      </a:rPr>
                      <m:t>=0  |  </m:t>
                    </m:r>
                    <m:r>
                      <a:rPr lang="de-DE" sz="20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de-DE" sz="2000" b="0" i="1">
                        <a:latin typeface="Cambria Math" panose="02040503050406030204" pitchFamily="18" charset="0"/>
                      </a:rPr>
                      <m:t>=12</m:t>
                    </m:r>
                  </m:oMath>
                </m:oMathPara>
              </a14:m>
              <a:endParaRPr lang="de-DE" sz="20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83859463-3F04-564E-A5FF-DAF4DC7C96AD}"/>
                </a:ext>
              </a:extLst>
            </xdr:cNvPr>
            <xdr:cNvSpPr txBox="1"/>
          </xdr:nvSpPr>
          <xdr:spPr>
            <a:xfrm>
              <a:off x="817337" y="4586515"/>
              <a:ext cx="6150786" cy="313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2000" b="0" i="0">
                  <a:latin typeface="Cambria Math" panose="02040503050406030204" pitchFamily="18" charset="0"/>
                </a:rPr>
                <a:t>𝑥_1=10  |  𝑥_2=2  |   𝑦_1=8  |  𝑦_2=0  |   𝑦_3=0  |  𝑍=12</a:t>
              </a:r>
              <a:endParaRPr lang="de-DE" sz="20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B921-0C81-614C-B486-9A39C56409C7}">
  <dimension ref="C2:E16"/>
  <sheetViews>
    <sheetView tabSelected="1" zoomScale="150" zoomScaleNormal="150" workbookViewId="0">
      <selection activeCell="D13" sqref="D13"/>
    </sheetView>
  </sheetViews>
  <sheetFormatPr baseColWidth="10" defaultRowHeight="16" x14ac:dyDescent="0.2"/>
  <sheetData>
    <row r="2" spans="3:5" x14ac:dyDescent="0.2">
      <c r="C2">
        <v>2</v>
      </c>
      <c r="D2">
        <v>3</v>
      </c>
      <c r="E2">
        <v>8</v>
      </c>
    </row>
    <row r="3" spans="3:5" x14ac:dyDescent="0.2">
      <c r="C3">
        <v>5</v>
      </c>
      <c r="D3">
        <v>2</v>
      </c>
      <c r="E3">
        <v>4</v>
      </c>
    </row>
    <row r="4" spans="3:5" x14ac:dyDescent="0.2">
      <c r="C4">
        <v>8</v>
      </c>
      <c r="D4">
        <v>7</v>
      </c>
      <c r="E4">
        <v>1</v>
      </c>
    </row>
    <row r="6" spans="3:5" ht="18" x14ac:dyDescent="0.25">
      <c r="C6" s="1" t="s">
        <v>0</v>
      </c>
      <c r="D6" s="1" t="s">
        <v>1</v>
      </c>
      <c r="E6" s="1" t="s">
        <v>2</v>
      </c>
    </row>
    <row r="7" spans="3:5" ht="18" x14ac:dyDescent="0.25">
      <c r="C7" s="1" t="s">
        <v>3</v>
      </c>
      <c r="D7" s="1" t="s">
        <v>4</v>
      </c>
      <c r="E7" s="1" t="s">
        <v>5</v>
      </c>
    </row>
    <row r="8" spans="3:5" ht="18" x14ac:dyDescent="0.25">
      <c r="C8" s="1" t="s">
        <v>6</v>
      </c>
      <c r="D8" s="1" t="s">
        <v>7</v>
      </c>
      <c r="E8" s="1" t="s">
        <v>8</v>
      </c>
    </row>
    <row r="9" spans="3:5" x14ac:dyDescent="0.2">
      <c r="E9" s="1" t="s">
        <v>36</v>
      </c>
    </row>
    <row r="10" spans="3:5" ht="18" x14ac:dyDescent="0.25">
      <c r="E10" s="1" t="s">
        <v>9</v>
      </c>
    </row>
    <row r="12" spans="3:5" x14ac:dyDescent="0.2">
      <c r="E12" s="1" t="s">
        <v>10</v>
      </c>
    </row>
    <row r="13" spans="3:5" x14ac:dyDescent="0.2">
      <c r="C13" s="1" t="s">
        <v>11</v>
      </c>
      <c r="D13">
        <v>4</v>
      </c>
    </row>
    <row r="14" spans="3:5" x14ac:dyDescent="0.2">
      <c r="C14">
        <f>$D$13*C2</f>
        <v>8</v>
      </c>
      <c r="D14">
        <f t="shared" ref="D14:E14" si="0">$D$13*D2</f>
        <v>12</v>
      </c>
      <c r="E14">
        <f t="shared" si="0"/>
        <v>32</v>
      </c>
    </row>
    <row r="15" spans="3:5" x14ac:dyDescent="0.2">
      <c r="C15">
        <f t="shared" ref="C15:E15" si="1">$D$13*C3</f>
        <v>20</v>
      </c>
      <c r="D15">
        <f t="shared" si="1"/>
        <v>8</v>
      </c>
      <c r="E15">
        <f t="shared" si="1"/>
        <v>16</v>
      </c>
    </row>
    <row r="16" spans="3:5" x14ac:dyDescent="0.2">
      <c r="C16">
        <f t="shared" ref="C16:E16" si="2">$D$13*C4</f>
        <v>32</v>
      </c>
      <c r="D16">
        <f t="shared" si="2"/>
        <v>28</v>
      </c>
      <c r="E16">
        <f t="shared" si="2"/>
        <v>4</v>
      </c>
    </row>
  </sheetData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C1F0-D946-8242-AFD1-F5B3F22A2596}">
  <dimension ref="B2:T19"/>
  <sheetViews>
    <sheetView zoomScale="150" zoomScaleNormal="150" workbookViewId="0">
      <selection activeCell="C17" sqref="C17"/>
    </sheetView>
  </sheetViews>
  <sheetFormatPr baseColWidth="10" defaultRowHeight="16" x14ac:dyDescent="0.2"/>
  <cols>
    <col min="2" max="20" width="4.83203125" customWidth="1"/>
  </cols>
  <sheetData>
    <row r="2" spans="2:20" x14ac:dyDescent="0.2">
      <c r="B2">
        <v>1</v>
      </c>
      <c r="C2">
        <v>4</v>
      </c>
      <c r="D2">
        <v>7</v>
      </c>
      <c r="F2">
        <v>2</v>
      </c>
      <c r="G2">
        <v>2</v>
      </c>
      <c r="H2">
        <v>8</v>
      </c>
    </row>
    <row r="3" spans="2:20" x14ac:dyDescent="0.2">
      <c r="B3">
        <v>2</v>
      </c>
      <c r="C3">
        <v>5</v>
      </c>
      <c r="D3">
        <v>8</v>
      </c>
      <c r="F3">
        <v>4</v>
      </c>
      <c r="G3">
        <v>3</v>
      </c>
      <c r="H3">
        <v>7</v>
      </c>
    </row>
    <row r="4" spans="2:20" x14ac:dyDescent="0.2">
      <c r="B4">
        <v>3</v>
      </c>
      <c r="C4">
        <v>6</v>
      </c>
      <c r="D4">
        <v>9</v>
      </c>
      <c r="F4">
        <v>8</v>
      </c>
      <c r="G4">
        <v>4</v>
      </c>
      <c r="H4">
        <v>6</v>
      </c>
    </row>
    <row r="6" spans="2:20" x14ac:dyDescent="0.2">
      <c r="B6">
        <f t="shared" ref="B6:D8" si="0">B2+F2</f>
        <v>3</v>
      </c>
      <c r="C6">
        <f t="shared" si="0"/>
        <v>6</v>
      </c>
      <c r="D6">
        <f t="shared" si="0"/>
        <v>15</v>
      </c>
    </row>
    <row r="7" spans="2:20" x14ac:dyDescent="0.2">
      <c r="B7">
        <f t="shared" si="0"/>
        <v>6</v>
      </c>
      <c r="C7">
        <f t="shared" si="0"/>
        <v>8</v>
      </c>
      <c r="D7">
        <f t="shared" si="0"/>
        <v>15</v>
      </c>
    </row>
    <row r="8" spans="2:20" x14ac:dyDescent="0.2">
      <c r="B8">
        <f t="shared" si="0"/>
        <v>11</v>
      </c>
      <c r="C8">
        <f t="shared" si="0"/>
        <v>10</v>
      </c>
      <c r="D8">
        <f t="shared" si="0"/>
        <v>15</v>
      </c>
    </row>
    <row r="11" spans="2:20" ht="18" x14ac:dyDescent="0.25">
      <c r="B11" s="2"/>
      <c r="C11" s="3" t="s">
        <v>12</v>
      </c>
      <c r="D11" s="4" t="s">
        <v>13</v>
      </c>
      <c r="E11" s="4" t="s">
        <v>14</v>
      </c>
      <c r="F11" s="1"/>
      <c r="G11" s="4"/>
      <c r="H11" s="3" t="s">
        <v>12</v>
      </c>
      <c r="I11" s="4" t="s">
        <v>13</v>
      </c>
      <c r="J11" s="4" t="s">
        <v>14</v>
      </c>
      <c r="K11" s="1"/>
      <c r="L11" s="4"/>
      <c r="M11" s="3" t="s">
        <v>12</v>
      </c>
      <c r="N11" s="4" t="s">
        <v>13</v>
      </c>
      <c r="O11" s="4" t="s">
        <v>14</v>
      </c>
      <c r="P11" s="1"/>
      <c r="Q11" s="4"/>
      <c r="R11" s="3" t="s">
        <v>12</v>
      </c>
      <c r="S11" s="4" t="s">
        <v>13</v>
      </c>
      <c r="T11" s="4" t="s">
        <v>14</v>
      </c>
    </row>
    <row r="12" spans="2:20" ht="18" x14ac:dyDescent="0.25">
      <c r="B12" t="s">
        <v>12</v>
      </c>
      <c r="C12" s="5">
        <v>0.1</v>
      </c>
      <c r="D12" s="6">
        <v>2</v>
      </c>
      <c r="E12" s="6">
        <v>2.4</v>
      </c>
      <c r="F12" s="6"/>
      <c r="G12" s="6" t="s">
        <v>12</v>
      </c>
      <c r="H12" s="5">
        <v>0</v>
      </c>
      <c r="I12" s="6">
        <v>2.1</v>
      </c>
      <c r="J12" s="6">
        <v>1.8</v>
      </c>
      <c r="K12" s="6"/>
      <c r="L12" s="6" t="s">
        <v>12</v>
      </c>
      <c r="M12" s="5">
        <v>0</v>
      </c>
      <c r="N12" s="6">
        <v>1.9</v>
      </c>
      <c r="O12" s="6">
        <v>2</v>
      </c>
      <c r="P12" s="6"/>
      <c r="Q12" s="6" t="s">
        <v>12</v>
      </c>
      <c r="R12" s="5">
        <v>0.1</v>
      </c>
      <c r="S12" s="6">
        <v>1.8</v>
      </c>
      <c r="T12" s="6">
        <v>2.1</v>
      </c>
    </row>
    <row r="13" spans="2:20" ht="18" x14ac:dyDescent="0.25">
      <c r="B13" t="s">
        <v>13</v>
      </c>
      <c r="C13" s="5">
        <v>0.5</v>
      </c>
      <c r="D13" s="6">
        <v>0</v>
      </c>
      <c r="E13" s="6">
        <v>1.4</v>
      </c>
      <c r="F13" s="6"/>
      <c r="G13" s="6" t="s">
        <v>13</v>
      </c>
      <c r="H13" s="5">
        <v>0.7</v>
      </c>
      <c r="I13" s="6">
        <v>0</v>
      </c>
      <c r="J13" s="6">
        <v>1.5</v>
      </c>
      <c r="K13" s="6"/>
      <c r="L13" s="6" t="s">
        <v>13</v>
      </c>
      <c r="M13" s="5">
        <v>0.6</v>
      </c>
      <c r="N13" s="6">
        <v>0.1</v>
      </c>
      <c r="O13" s="6">
        <v>1.6</v>
      </c>
      <c r="P13" s="6"/>
      <c r="Q13" s="6" t="s">
        <v>13</v>
      </c>
      <c r="R13" s="5">
        <v>0.6</v>
      </c>
      <c r="S13" s="6">
        <v>0</v>
      </c>
      <c r="T13" s="6">
        <v>1.4</v>
      </c>
    </row>
    <row r="14" spans="2:20" ht="18" x14ac:dyDescent="0.25">
      <c r="B14" t="s">
        <v>14</v>
      </c>
      <c r="C14" s="5">
        <v>3.2</v>
      </c>
      <c r="D14" s="6">
        <v>1.2</v>
      </c>
      <c r="E14" s="6">
        <v>0.1</v>
      </c>
      <c r="F14" s="6"/>
      <c r="G14" s="6" t="s">
        <v>14</v>
      </c>
      <c r="H14" s="5">
        <v>3</v>
      </c>
      <c r="I14" s="6">
        <v>1.3</v>
      </c>
      <c r="J14" s="6">
        <v>0.1</v>
      </c>
      <c r="K14" s="6"/>
      <c r="L14" s="6" t="s">
        <v>14</v>
      </c>
      <c r="M14" s="5">
        <v>3.1</v>
      </c>
      <c r="N14" s="6">
        <v>1.1000000000000001</v>
      </c>
      <c r="O14" s="6">
        <v>0.1</v>
      </c>
      <c r="P14" s="6"/>
      <c r="Q14" s="6" t="s">
        <v>14</v>
      </c>
      <c r="R14" s="5">
        <v>3</v>
      </c>
      <c r="S14" s="6">
        <v>1</v>
      </c>
      <c r="T14" s="6">
        <v>0.1</v>
      </c>
    </row>
    <row r="16" spans="2:20" ht="18" x14ac:dyDescent="0.25">
      <c r="B16" s="2"/>
      <c r="C16" s="3" t="s">
        <v>12</v>
      </c>
      <c r="D16" s="4" t="s">
        <v>13</v>
      </c>
      <c r="E16" s="4" t="s">
        <v>14</v>
      </c>
    </row>
    <row r="17" spans="2:10" ht="18" x14ac:dyDescent="0.25">
      <c r="B17" t="s">
        <v>12</v>
      </c>
      <c r="C17" s="5">
        <f>C12+H12+M12+R12</f>
        <v>0.2</v>
      </c>
      <c r="D17" s="7">
        <f t="shared" ref="D17:E19" si="1">D12+I12+N12+S12</f>
        <v>7.8</v>
      </c>
      <c r="E17" s="6">
        <f t="shared" si="1"/>
        <v>8.3000000000000007</v>
      </c>
      <c r="H17" s="6"/>
      <c r="I17" s="6"/>
      <c r="J17" s="6"/>
    </row>
    <row r="18" spans="2:10" ht="18" x14ac:dyDescent="0.25">
      <c r="B18" t="s">
        <v>13</v>
      </c>
      <c r="C18" s="5">
        <f t="shared" ref="C18:C19" si="2">C13+H13+M13+R13</f>
        <v>2.4</v>
      </c>
      <c r="D18" s="6">
        <f t="shared" si="1"/>
        <v>0.1</v>
      </c>
      <c r="E18" s="6">
        <f t="shared" si="1"/>
        <v>5.9</v>
      </c>
      <c r="H18" s="6"/>
      <c r="I18" s="6"/>
      <c r="J18" s="6"/>
    </row>
    <row r="19" spans="2:10" ht="18" x14ac:dyDescent="0.25">
      <c r="B19" t="s">
        <v>14</v>
      </c>
      <c r="C19" s="5">
        <f t="shared" si="2"/>
        <v>12.3</v>
      </c>
      <c r="D19" s="6">
        <f t="shared" si="1"/>
        <v>4.5999999999999996</v>
      </c>
      <c r="E19" s="6">
        <f t="shared" si="1"/>
        <v>0.4</v>
      </c>
      <c r="H19" s="6"/>
      <c r="I19" s="6"/>
      <c r="J19" s="6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2919-C29C-BA41-8350-EF70DBB3E3B3}">
  <dimension ref="B2:H12"/>
  <sheetViews>
    <sheetView zoomScale="150" zoomScaleNormal="150" workbookViewId="0">
      <selection activeCell="F10" sqref="F10"/>
    </sheetView>
  </sheetViews>
  <sheetFormatPr baseColWidth="10" defaultRowHeight="16" x14ac:dyDescent="0.2"/>
  <sheetData>
    <row r="2" spans="2:8" x14ac:dyDescent="0.2">
      <c r="B2">
        <v>1</v>
      </c>
      <c r="C2">
        <v>8</v>
      </c>
      <c r="D2">
        <v>3</v>
      </c>
      <c r="F2">
        <v>5</v>
      </c>
      <c r="G2">
        <v>7</v>
      </c>
      <c r="H2">
        <v>7</v>
      </c>
    </row>
    <row r="3" spans="2:8" x14ac:dyDescent="0.2">
      <c r="B3">
        <v>10</v>
      </c>
      <c r="C3">
        <v>7</v>
      </c>
      <c r="D3">
        <v>1</v>
      </c>
      <c r="F3">
        <v>5</v>
      </c>
      <c r="G3">
        <v>2</v>
      </c>
      <c r="H3">
        <v>3</v>
      </c>
    </row>
    <row r="4" spans="2:8" x14ac:dyDescent="0.2">
      <c r="B4">
        <v>9</v>
      </c>
      <c r="C4">
        <v>7</v>
      </c>
      <c r="D4">
        <v>2</v>
      </c>
      <c r="F4">
        <v>10</v>
      </c>
      <c r="G4">
        <v>6</v>
      </c>
      <c r="H4">
        <v>2</v>
      </c>
    </row>
    <row r="7" spans="2:8" x14ac:dyDescent="0.2">
      <c r="F7" s="8">
        <f>F2</f>
        <v>5</v>
      </c>
      <c r="G7">
        <f t="shared" ref="G7:H7" si="0">G2</f>
        <v>7</v>
      </c>
      <c r="H7">
        <f t="shared" si="0"/>
        <v>7</v>
      </c>
    </row>
    <row r="8" spans="2:8" x14ac:dyDescent="0.2">
      <c r="F8" s="8">
        <f t="shared" ref="F8:H8" si="1">F3</f>
        <v>5</v>
      </c>
      <c r="G8">
        <f t="shared" si="1"/>
        <v>2</v>
      </c>
      <c r="H8">
        <f t="shared" si="1"/>
        <v>3</v>
      </c>
    </row>
    <row r="9" spans="2:8" x14ac:dyDescent="0.2">
      <c r="C9" s="2"/>
      <c r="D9" s="2"/>
      <c r="E9" s="2"/>
      <c r="F9" s="9">
        <f t="shared" ref="F9:H9" si="2">F4</f>
        <v>10</v>
      </c>
      <c r="G9" s="2">
        <f t="shared" si="2"/>
        <v>6</v>
      </c>
      <c r="H9" s="2">
        <f t="shared" si="2"/>
        <v>2</v>
      </c>
    </row>
    <row r="10" spans="2:8" x14ac:dyDescent="0.2">
      <c r="C10">
        <f>B2</f>
        <v>1</v>
      </c>
      <c r="D10">
        <f t="shared" ref="D10:E10" si="3">C2</f>
        <v>8</v>
      </c>
      <c r="E10">
        <f t="shared" si="3"/>
        <v>3</v>
      </c>
      <c r="F10" s="8">
        <f>C10*F7+D10*F8+E10*F9</f>
        <v>75</v>
      </c>
      <c r="G10">
        <f>C10*G7+D10*G8+E10*G9</f>
        <v>41</v>
      </c>
      <c r="H10">
        <f>C10*H7+D10*H8+E10*H9</f>
        <v>37</v>
      </c>
    </row>
    <row r="11" spans="2:8" x14ac:dyDescent="0.2">
      <c r="C11">
        <f t="shared" ref="C11:E12" si="4">B3</f>
        <v>10</v>
      </c>
      <c r="D11">
        <f t="shared" si="4"/>
        <v>7</v>
      </c>
      <c r="E11">
        <f t="shared" si="4"/>
        <v>1</v>
      </c>
      <c r="F11" s="8">
        <f>C11*F7+D11*F8+E11*F9</f>
        <v>95</v>
      </c>
      <c r="G11">
        <f>C11*G7+D11*G8+E11*G9</f>
        <v>90</v>
      </c>
      <c r="H11">
        <f>C11*H7+D11*H8+E11*H9</f>
        <v>93</v>
      </c>
    </row>
    <row r="12" spans="2:8" x14ac:dyDescent="0.2">
      <c r="C12">
        <f t="shared" si="4"/>
        <v>9</v>
      </c>
      <c r="D12">
        <f t="shared" si="4"/>
        <v>7</v>
      </c>
      <c r="E12">
        <f t="shared" si="4"/>
        <v>2</v>
      </c>
      <c r="F12" s="8">
        <f>C12*F7+D12*F8+E12*F9</f>
        <v>100</v>
      </c>
      <c r="G12">
        <f>C12*G7+D12*G8+E12*G9</f>
        <v>89</v>
      </c>
      <c r="H12">
        <f>C12*H7+D12*H8+E12*H9</f>
        <v>88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5C57-66D3-914E-8E4F-211736EB282E}">
  <dimension ref="A3:P33"/>
  <sheetViews>
    <sheetView zoomScale="190" zoomScaleNormal="190" workbookViewId="0">
      <selection activeCell="C15" sqref="C15"/>
    </sheetView>
  </sheetViews>
  <sheetFormatPr baseColWidth="10" defaultRowHeight="16" x14ac:dyDescent="0.2"/>
  <cols>
    <col min="2" max="9" width="5.83203125" customWidth="1"/>
    <col min="10" max="10" width="15.33203125" bestFit="1" customWidth="1"/>
    <col min="11" max="13" width="12.33203125" bestFit="1" customWidth="1"/>
    <col min="14" max="14" width="13" bestFit="1" customWidth="1"/>
    <col min="15" max="16" width="12.33203125" bestFit="1" customWidth="1"/>
  </cols>
  <sheetData>
    <row r="3" spans="1:16" ht="18" x14ac:dyDescent="0.25">
      <c r="G3" s="10" t="s">
        <v>15</v>
      </c>
      <c r="H3" s="1" t="s">
        <v>16</v>
      </c>
      <c r="I3" s="1" t="s">
        <v>17</v>
      </c>
    </row>
    <row r="4" spans="1:16" ht="18" x14ac:dyDescent="0.25">
      <c r="G4" s="10" t="s">
        <v>18</v>
      </c>
      <c r="H4" s="1" t="s">
        <v>19</v>
      </c>
      <c r="I4" s="1" t="s">
        <v>20</v>
      </c>
    </row>
    <row r="5" spans="1:16" ht="18" x14ac:dyDescent="0.25">
      <c r="D5" s="2"/>
      <c r="E5" s="2"/>
      <c r="F5" s="2"/>
      <c r="G5" s="3" t="s">
        <v>21</v>
      </c>
      <c r="H5" s="4" t="s">
        <v>22</v>
      </c>
      <c r="I5" s="4" t="s">
        <v>23</v>
      </c>
    </row>
    <row r="6" spans="1:16" x14ac:dyDescent="0.2">
      <c r="D6">
        <v>1</v>
      </c>
      <c r="E6">
        <v>2</v>
      </c>
      <c r="F6">
        <v>4</v>
      </c>
      <c r="G6" s="8">
        <v>1</v>
      </c>
      <c r="H6">
        <v>0</v>
      </c>
      <c r="I6">
        <v>0</v>
      </c>
    </row>
    <row r="7" spans="1:16" x14ac:dyDescent="0.2">
      <c r="D7">
        <v>2</v>
      </c>
      <c r="E7">
        <v>6</v>
      </c>
      <c r="F7">
        <v>8</v>
      </c>
      <c r="G7" s="8">
        <v>0</v>
      </c>
      <c r="H7">
        <v>1</v>
      </c>
      <c r="I7">
        <v>0</v>
      </c>
    </row>
    <row r="8" spans="1:16" x14ac:dyDescent="0.2">
      <c r="D8">
        <v>4</v>
      </c>
      <c r="E8">
        <v>8</v>
      </c>
      <c r="F8">
        <v>20</v>
      </c>
      <c r="G8" s="8">
        <v>0</v>
      </c>
      <c r="H8">
        <v>0</v>
      </c>
      <c r="I8">
        <v>1</v>
      </c>
    </row>
    <row r="11" spans="1:16" x14ac:dyDescent="0.2">
      <c r="A11" s="11">
        <v>1</v>
      </c>
      <c r="B11" s="12" t="s">
        <v>24</v>
      </c>
      <c r="C11" s="12"/>
      <c r="D11" s="31">
        <v>1</v>
      </c>
      <c r="E11">
        <v>2</v>
      </c>
      <c r="F11">
        <v>4</v>
      </c>
      <c r="G11" s="8">
        <v>1</v>
      </c>
      <c r="H11">
        <v>0</v>
      </c>
      <c r="I11">
        <v>0</v>
      </c>
    </row>
    <row r="12" spans="1:16" x14ac:dyDescent="0.2">
      <c r="A12" s="11">
        <v>0</v>
      </c>
      <c r="B12" s="12" t="s">
        <v>25</v>
      </c>
      <c r="C12" s="12"/>
      <c r="D12" s="11">
        <v>2</v>
      </c>
      <c r="E12">
        <v>6</v>
      </c>
      <c r="F12">
        <v>8</v>
      </c>
      <c r="G12" s="8">
        <v>0</v>
      </c>
      <c r="H12">
        <v>1</v>
      </c>
      <c r="I12">
        <v>0</v>
      </c>
    </row>
    <row r="13" spans="1:16" x14ac:dyDescent="0.2">
      <c r="A13" s="11">
        <v>0</v>
      </c>
      <c r="B13" s="12" t="s">
        <v>26</v>
      </c>
      <c r="C13" s="12"/>
      <c r="D13" s="11">
        <v>4</v>
      </c>
      <c r="E13">
        <v>8</v>
      </c>
      <c r="F13">
        <v>20</v>
      </c>
      <c r="G13" s="8">
        <v>0</v>
      </c>
      <c r="H13">
        <v>0</v>
      </c>
      <c r="I13">
        <v>1</v>
      </c>
    </row>
    <row r="15" spans="1:16" x14ac:dyDescent="0.2">
      <c r="A15" s="11">
        <v>0</v>
      </c>
      <c r="B15" s="13" t="s">
        <v>24</v>
      </c>
      <c r="C15" s="13">
        <f>1/D11</f>
        <v>1</v>
      </c>
      <c r="D15">
        <f>D11</f>
        <v>1</v>
      </c>
      <c r="E15" s="11">
        <f t="shared" ref="E15:I15" si="0">E11</f>
        <v>2</v>
      </c>
      <c r="F15">
        <f t="shared" si="0"/>
        <v>4</v>
      </c>
      <c r="G15" s="8">
        <f t="shared" si="0"/>
        <v>1</v>
      </c>
      <c r="H15">
        <f t="shared" si="0"/>
        <v>0</v>
      </c>
      <c r="I15">
        <f t="shared" si="0"/>
        <v>0</v>
      </c>
      <c r="J15" t="s">
        <v>27</v>
      </c>
      <c r="K15" t="str">
        <f>"= 1"</f>
        <v>= 1</v>
      </c>
      <c r="L15" t="str">
        <f>"= 2"</f>
        <v>= 2</v>
      </c>
      <c r="M15" t="str">
        <f>"= 4"</f>
        <v>= 4</v>
      </c>
      <c r="N15" t="str">
        <f>"= 1"</f>
        <v>= 1</v>
      </c>
      <c r="O15" t="str">
        <f>"= 0"</f>
        <v>= 0</v>
      </c>
      <c r="P15" t="str">
        <f>"= 0"</f>
        <v>= 0</v>
      </c>
    </row>
    <row r="16" spans="1:16" x14ac:dyDescent="0.2">
      <c r="A16" s="11">
        <v>1</v>
      </c>
      <c r="B16" s="13" t="s">
        <v>25</v>
      </c>
      <c r="C16" s="13">
        <f>D12/D11</f>
        <v>2</v>
      </c>
      <c r="D16">
        <f>D12-2*D11</f>
        <v>0</v>
      </c>
      <c r="E16" s="31">
        <f t="shared" ref="E16:I16" si="1">E12-2*E11</f>
        <v>2</v>
      </c>
      <c r="F16">
        <f t="shared" si="1"/>
        <v>0</v>
      </c>
      <c r="G16" s="8">
        <f t="shared" si="1"/>
        <v>-2</v>
      </c>
      <c r="H16">
        <f t="shared" si="1"/>
        <v>1</v>
      </c>
      <c r="I16">
        <f t="shared" si="1"/>
        <v>0</v>
      </c>
      <c r="J16" t="s">
        <v>28</v>
      </c>
      <c r="K16" t="str">
        <f>"= 2 - 2 * 1 = 0"</f>
        <v>= 2 - 2 * 1 = 0</v>
      </c>
      <c r="L16" t="str">
        <f>"= 6 - 2 * 2 = 2"</f>
        <v>= 6 - 2 * 2 = 2</v>
      </c>
      <c r="M16" t="str">
        <f>"= 8 - 2 * 4 = 0"</f>
        <v>= 8 - 2 * 4 = 0</v>
      </c>
      <c r="N16" t="str">
        <f>"= 0 - 2 * 1 = -2"</f>
        <v>= 0 - 2 * 1 = -2</v>
      </c>
      <c r="O16" t="str">
        <f>"= 1 - 2 * 0 = 1"</f>
        <v>= 1 - 2 * 0 = 1</v>
      </c>
      <c r="P16" t="str">
        <f>"= 0 - 2 * 0 = 0"</f>
        <v>= 0 - 2 * 0 = 0</v>
      </c>
    </row>
    <row r="17" spans="1:16" x14ac:dyDescent="0.2">
      <c r="A17" s="11">
        <v>0</v>
      </c>
      <c r="B17" s="13" t="s">
        <v>26</v>
      </c>
      <c r="C17" s="13">
        <f>D13/D11</f>
        <v>4</v>
      </c>
      <c r="D17">
        <f>D13-4*D11</f>
        <v>0</v>
      </c>
      <c r="E17" s="11">
        <f t="shared" ref="E17:I17" si="2">E13-4*E11</f>
        <v>0</v>
      </c>
      <c r="F17">
        <f t="shared" si="2"/>
        <v>4</v>
      </c>
      <c r="G17" s="8">
        <f t="shared" si="2"/>
        <v>-4</v>
      </c>
      <c r="H17">
        <f t="shared" si="2"/>
        <v>0</v>
      </c>
      <c r="I17">
        <f t="shared" si="2"/>
        <v>1</v>
      </c>
      <c r="J17" t="s">
        <v>29</v>
      </c>
      <c r="K17" t="str">
        <f>"= 4 - 4 * 1 = 0"</f>
        <v>= 4 - 4 * 1 = 0</v>
      </c>
      <c r="L17" t="str">
        <f>"= 8 - 4 * 2 = 0"</f>
        <v>= 8 - 4 * 2 = 0</v>
      </c>
      <c r="M17" t="str">
        <f>"= 20 - 4 * 4 = 4"</f>
        <v>= 20 - 4 * 4 = 4</v>
      </c>
      <c r="N17" t="str">
        <f>"= 0 - 4 * 1 = -4"</f>
        <v>= 0 - 4 * 1 = -4</v>
      </c>
      <c r="O17" t="str">
        <f>"= 0 - 4 * 0 = 0"</f>
        <v>= 0 - 4 * 0 = 0</v>
      </c>
      <c r="P17" t="str">
        <f>"= 1 - 4 * 0 = 1"</f>
        <v>= 1 - 4 * 0 = 1</v>
      </c>
    </row>
    <row r="19" spans="1:16" x14ac:dyDescent="0.2">
      <c r="A19" s="11">
        <v>0</v>
      </c>
      <c r="B19" s="14" t="s">
        <v>24</v>
      </c>
      <c r="C19" s="14">
        <f>E15/E16</f>
        <v>1</v>
      </c>
      <c r="D19">
        <f>D15-D16</f>
        <v>1</v>
      </c>
      <c r="E19">
        <f>E15-E16</f>
        <v>0</v>
      </c>
      <c r="F19" s="11">
        <f t="shared" ref="F19:I19" si="3">F15-F16</f>
        <v>4</v>
      </c>
      <c r="G19" s="8">
        <f t="shared" si="3"/>
        <v>3</v>
      </c>
      <c r="H19">
        <f t="shared" si="3"/>
        <v>-1</v>
      </c>
      <c r="I19">
        <f t="shared" si="3"/>
        <v>0</v>
      </c>
      <c r="J19" t="s">
        <v>31</v>
      </c>
    </row>
    <row r="20" spans="1:16" x14ac:dyDescent="0.2">
      <c r="A20" s="11">
        <v>0</v>
      </c>
      <c r="B20" s="14" t="s">
        <v>25</v>
      </c>
      <c r="C20" s="14">
        <f>1/E16</f>
        <v>0.5</v>
      </c>
      <c r="D20">
        <f>D16/2</f>
        <v>0</v>
      </c>
      <c r="E20">
        <f>E16/2</f>
        <v>1</v>
      </c>
      <c r="F20" s="11">
        <f t="shared" ref="F20:I20" si="4">F16/2</f>
        <v>0</v>
      </c>
      <c r="G20" s="8">
        <f t="shared" si="4"/>
        <v>-1</v>
      </c>
      <c r="H20">
        <f t="shared" si="4"/>
        <v>0.5</v>
      </c>
      <c r="I20">
        <f t="shared" si="4"/>
        <v>0</v>
      </c>
      <c r="J20" t="s">
        <v>32</v>
      </c>
    </row>
    <row r="21" spans="1:16" x14ac:dyDescent="0.2">
      <c r="A21" s="11">
        <v>1</v>
      </c>
      <c r="B21" s="14" t="s">
        <v>26</v>
      </c>
      <c r="C21" s="14">
        <f>E17/E16</f>
        <v>0</v>
      </c>
      <c r="D21">
        <f>D17</f>
        <v>0</v>
      </c>
      <c r="E21">
        <f t="shared" ref="E21:I21" si="5">E17</f>
        <v>0</v>
      </c>
      <c r="F21" s="31">
        <f t="shared" si="5"/>
        <v>4</v>
      </c>
      <c r="G21" s="8">
        <f t="shared" si="5"/>
        <v>-4</v>
      </c>
      <c r="H21">
        <f t="shared" si="5"/>
        <v>0</v>
      </c>
      <c r="I21">
        <f t="shared" si="5"/>
        <v>1</v>
      </c>
      <c r="J21" t="s">
        <v>30</v>
      </c>
    </row>
    <row r="23" spans="1:16" x14ac:dyDescent="0.2">
      <c r="B23" s="15" t="s">
        <v>24</v>
      </c>
      <c r="C23" s="15">
        <f>F19/F21</f>
        <v>1</v>
      </c>
      <c r="D23">
        <f t="shared" ref="D23:E23" si="6">D19-D21</f>
        <v>1</v>
      </c>
      <c r="E23">
        <f t="shared" si="6"/>
        <v>0</v>
      </c>
      <c r="F23">
        <f>F19-F21</f>
        <v>0</v>
      </c>
      <c r="G23" s="8">
        <f t="shared" ref="G23:I23" si="7">G19-G21</f>
        <v>7</v>
      </c>
      <c r="H23">
        <f t="shared" si="7"/>
        <v>-1</v>
      </c>
      <c r="I23">
        <f t="shared" si="7"/>
        <v>-1</v>
      </c>
      <c r="J23" t="s">
        <v>34</v>
      </c>
    </row>
    <row r="24" spans="1:16" x14ac:dyDescent="0.2">
      <c r="B24" s="15" t="s">
        <v>25</v>
      </c>
      <c r="C24" s="15">
        <f>F20/F21</f>
        <v>0</v>
      </c>
      <c r="D24">
        <f>D20</f>
        <v>0</v>
      </c>
      <c r="E24">
        <f t="shared" ref="E24:I24" si="8">E20</f>
        <v>1</v>
      </c>
      <c r="F24">
        <f t="shared" si="8"/>
        <v>0</v>
      </c>
      <c r="G24" s="8">
        <f t="shared" si="8"/>
        <v>-1</v>
      </c>
      <c r="H24">
        <f t="shared" si="8"/>
        <v>0.5</v>
      </c>
      <c r="I24">
        <f t="shared" si="8"/>
        <v>0</v>
      </c>
      <c r="J24" t="s">
        <v>33</v>
      </c>
    </row>
    <row r="25" spans="1:16" x14ac:dyDescent="0.2">
      <c r="B25" s="15" t="s">
        <v>26</v>
      </c>
      <c r="C25" s="15">
        <f>1/F21</f>
        <v>0.25</v>
      </c>
      <c r="D25">
        <f t="shared" ref="D25:E25" si="9">D21/4</f>
        <v>0</v>
      </c>
      <c r="E25">
        <f t="shared" si="9"/>
        <v>0</v>
      </c>
      <c r="F25">
        <f>F21/4</f>
        <v>1</v>
      </c>
      <c r="G25" s="8">
        <f t="shared" ref="G25:I25" si="10">G21/4</f>
        <v>-1</v>
      </c>
      <c r="H25">
        <f t="shared" si="10"/>
        <v>0</v>
      </c>
      <c r="I25">
        <f t="shared" si="10"/>
        <v>0.25</v>
      </c>
      <c r="J25" t="s">
        <v>35</v>
      </c>
    </row>
    <row r="28" spans="1:16" x14ac:dyDescent="0.2">
      <c r="G28" s="8">
        <f>G23</f>
        <v>7</v>
      </c>
      <c r="H28">
        <f t="shared" ref="H28:I28" si="11">H23</f>
        <v>-1</v>
      </c>
      <c r="I28">
        <f t="shared" si="11"/>
        <v>-1</v>
      </c>
    </row>
    <row r="29" spans="1:16" x14ac:dyDescent="0.2">
      <c r="G29" s="8">
        <f t="shared" ref="G29:I30" si="12">G24</f>
        <v>-1</v>
      </c>
      <c r="H29">
        <f t="shared" si="12"/>
        <v>0.5</v>
      </c>
      <c r="I29">
        <f t="shared" si="12"/>
        <v>0</v>
      </c>
    </row>
    <row r="30" spans="1:16" x14ac:dyDescent="0.2">
      <c r="D30" s="2"/>
      <c r="E30" s="2"/>
      <c r="F30" s="2"/>
      <c r="G30" s="9">
        <f t="shared" si="12"/>
        <v>-1</v>
      </c>
      <c r="H30" s="2">
        <f t="shared" si="12"/>
        <v>0</v>
      </c>
      <c r="I30" s="2">
        <f t="shared" si="12"/>
        <v>0.25</v>
      </c>
    </row>
    <row r="31" spans="1:16" x14ac:dyDescent="0.2">
      <c r="D31">
        <f>D6</f>
        <v>1</v>
      </c>
      <c r="E31">
        <f t="shared" ref="E31:F31" si="13">E6</f>
        <v>2</v>
      </c>
      <c r="F31">
        <f t="shared" si="13"/>
        <v>4</v>
      </c>
      <c r="G31" s="8">
        <f>D31*G28+E31*G29+F31*G30</f>
        <v>1</v>
      </c>
      <c r="H31">
        <f>D31*H28+E31*H29+F31*H30</f>
        <v>0</v>
      </c>
      <c r="I31">
        <f>D31*I28+E31*I29+F31*I30</f>
        <v>0</v>
      </c>
    </row>
    <row r="32" spans="1:16" x14ac:dyDescent="0.2">
      <c r="D32">
        <f t="shared" ref="D32:F33" si="14">D7</f>
        <v>2</v>
      </c>
      <c r="E32">
        <f t="shared" si="14"/>
        <v>6</v>
      </c>
      <c r="F32">
        <f t="shared" si="14"/>
        <v>8</v>
      </c>
      <c r="G32" s="8">
        <f>D32*G28+E32*G29+F32*G30</f>
        <v>0</v>
      </c>
      <c r="H32">
        <f>D32*H28+E32*H29+F32*H30</f>
        <v>1</v>
      </c>
      <c r="I32">
        <f>D32*I28+E32*I29+F32*I30</f>
        <v>0</v>
      </c>
    </row>
    <row r="33" spans="4:9" x14ac:dyDescent="0.2">
      <c r="D33">
        <f t="shared" si="14"/>
        <v>4</v>
      </c>
      <c r="E33">
        <f t="shared" si="14"/>
        <v>8</v>
      </c>
      <c r="F33">
        <f t="shared" si="14"/>
        <v>20</v>
      </c>
      <c r="G33" s="8">
        <f>D33*G28+E33*G29+F33*G30</f>
        <v>0</v>
      </c>
      <c r="H33">
        <f>D33*H28+E33*H29+F33*H30</f>
        <v>0</v>
      </c>
      <c r="I33">
        <f>D33*I28+E33*I29+F33*I30</f>
        <v>1</v>
      </c>
    </row>
  </sheetData>
  <phoneticPr fontId="2" type="noConversion"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3070-123E-DF42-97A3-5C86B17FA934}">
  <dimension ref="B3:J29"/>
  <sheetViews>
    <sheetView zoomScale="150" zoomScaleNormal="150" workbookViewId="0">
      <selection activeCell="F13" sqref="F13"/>
    </sheetView>
  </sheetViews>
  <sheetFormatPr baseColWidth="10" defaultRowHeight="19" x14ac:dyDescent="0.25"/>
  <cols>
    <col min="1" max="1" width="10.83203125" style="16"/>
    <col min="2" max="2" width="15.6640625" style="16" bestFit="1" customWidth="1"/>
    <col min="3" max="16384" width="10.83203125" style="16"/>
  </cols>
  <sheetData>
    <row r="3" spans="2:10" x14ac:dyDescent="0.25">
      <c r="C3" s="16">
        <v>1</v>
      </c>
      <c r="D3" s="16">
        <v>3</v>
      </c>
      <c r="E3" s="16">
        <v>3</v>
      </c>
      <c r="F3" s="17">
        <v>1</v>
      </c>
      <c r="G3" s="16">
        <v>0</v>
      </c>
      <c r="H3" s="16">
        <v>0</v>
      </c>
      <c r="J3" s="16" t="s">
        <v>46</v>
      </c>
    </row>
    <row r="4" spans="2:10" x14ac:dyDescent="0.25">
      <c r="C4" s="25">
        <v>1</v>
      </c>
      <c r="D4" s="16">
        <v>3</v>
      </c>
      <c r="E4" s="16">
        <v>4</v>
      </c>
      <c r="F4" s="17">
        <v>0</v>
      </c>
      <c r="G4" s="16">
        <v>1</v>
      </c>
      <c r="H4" s="16">
        <v>0</v>
      </c>
      <c r="J4" s="16" t="s">
        <v>47</v>
      </c>
    </row>
    <row r="5" spans="2:10" x14ac:dyDescent="0.25">
      <c r="C5" s="25">
        <v>1</v>
      </c>
      <c r="D5" s="16">
        <v>4</v>
      </c>
      <c r="E5" s="16">
        <v>3</v>
      </c>
      <c r="F5" s="17">
        <v>0</v>
      </c>
      <c r="G5" s="16">
        <v>0</v>
      </c>
      <c r="H5" s="16">
        <v>1</v>
      </c>
      <c r="J5" s="16" t="s">
        <v>48</v>
      </c>
    </row>
    <row r="6" spans="2:10" x14ac:dyDescent="0.25">
      <c r="J6" s="16" t="s">
        <v>49</v>
      </c>
    </row>
    <row r="7" spans="2:10" x14ac:dyDescent="0.25">
      <c r="J7" s="16" t="s">
        <v>50</v>
      </c>
    </row>
    <row r="8" spans="2:10" x14ac:dyDescent="0.25">
      <c r="B8" s="16" t="s">
        <v>37</v>
      </c>
      <c r="C8" s="16">
        <f>C3</f>
        <v>1</v>
      </c>
      <c r="D8" s="16">
        <f t="shared" ref="D8:H8" si="0">D3</f>
        <v>3</v>
      </c>
      <c r="E8" s="16">
        <f t="shared" si="0"/>
        <v>3</v>
      </c>
      <c r="F8" s="17">
        <f t="shared" si="0"/>
        <v>1</v>
      </c>
      <c r="G8" s="16">
        <f t="shared" si="0"/>
        <v>0</v>
      </c>
      <c r="H8" s="16">
        <f t="shared" si="0"/>
        <v>0</v>
      </c>
    </row>
    <row r="9" spans="2:10" x14ac:dyDescent="0.25">
      <c r="B9" s="16" t="s">
        <v>39</v>
      </c>
      <c r="C9" s="26">
        <f>C4-C3</f>
        <v>0</v>
      </c>
      <c r="D9" s="26">
        <f t="shared" ref="D9:H9" si="1">D4-D3</f>
        <v>0</v>
      </c>
      <c r="E9" s="26">
        <f t="shared" si="1"/>
        <v>1</v>
      </c>
      <c r="F9" s="29">
        <f t="shared" si="1"/>
        <v>-1</v>
      </c>
      <c r="G9" s="26">
        <f t="shared" si="1"/>
        <v>1</v>
      </c>
      <c r="H9" s="26">
        <f t="shared" si="1"/>
        <v>0</v>
      </c>
    </row>
    <row r="10" spans="2:10" x14ac:dyDescent="0.25">
      <c r="B10" s="16" t="s">
        <v>38</v>
      </c>
      <c r="C10" s="26">
        <f>C5-C3</f>
        <v>0</v>
      </c>
      <c r="D10" s="26">
        <f t="shared" ref="D10:H10" si="2">D5-D3</f>
        <v>1</v>
      </c>
      <c r="E10" s="26">
        <f t="shared" si="2"/>
        <v>0</v>
      </c>
      <c r="F10" s="29">
        <f t="shared" si="2"/>
        <v>-1</v>
      </c>
      <c r="G10" s="26">
        <f t="shared" si="2"/>
        <v>0</v>
      </c>
      <c r="H10" s="26">
        <f t="shared" si="2"/>
        <v>1</v>
      </c>
    </row>
    <row r="12" spans="2:10" x14ac:dyDescent="0.25">
      <c r="B12" s="16" t="s">
        <v>37</v>
      </c>
      <c r="C12" s="16">
        <f>C8</f>
        <v>1</v>
      </c>
      <c r="D12" s="27">
        <f t="shared" ref="D12:H12" si="3">D8</f>
        <v>3</v>
      </c>
      <c r="E12" s="16">
        <f t="shared" si="3"/>
        <v>3</v>
      </c>
      <c r="F12" s="17">
        <f t="shared" si="3"/>
        <v>1</v>
      </c>
      <c r="G12" s="16">
        <f t="shared" si="3"/>
        <v>0</v>
      </c>
      <c r="H12" s="16">
        <f t="shared" si="3"/>
        <v>0</v>
      </c>
    </row>
    <row r="13" spans="2:10" x14ac:dyDescent="0.25">
      <c r="B13" s="16" t="s">
        <v>42</v>
      </c>
      <c r="C13" s="16">
        <f>C10</f>
        <v>0</v>
      </c>
      <c r="D13" s="16">
        <f t="shared" ref="D13:H13" si="4">D10</f>
        <v>1</v>
      </c>
      <c r="E13" s="16">
        <f t="shared" si="4"/>
        <v>0</v>
      </c>
      <c r="F13" s="17">
        <f t="shared" si="4"/>
        <v>-1</v>
      </c>
      <c r="G13" s="16">
        <f t="shared" si="4"/>
        <v>0</v>
      </c>
      <c r="H13" s="16">
        <f t="shared" si="4"/>
        <v>1</v>
      </c>
    </row>
    <row r="14" spans="2:10" x14ac:dyDescent="0.25">
      <c r="B14" s="16" t="s">
        <v>43</v>
      </c>
      <c r="C14" s="16">
        <f>C9</f>
        <v>0</v>
      </c>
      <c r="D14" s="16">
        <f t="shared" ref="D14:H14" si="5">D9</f>
        <v>0</v>
      </c>
      <c r="E14" s="16">
        <f t="shared" si="5"/>
        <v>1</v>
      </c>
      <c r="F14" s="17">
        <f t="shared" si="5"/>
        <v>-1</v>
      </c>
      <c r="G14" s="16">
        <f t="shared" si="5"/>
        <v>1</v>
      </c>
      <c r="H14" s="16">
        <f t="shared" si="5"/>
        <v>0</v>
      </c>
    </row>
    <row r="16" spans="2:10" x14ac:dyDescent="0.25">
      <c r="B16" s="16" t="s">
        <v>44</v>
      </c>
      <c r="C16" s="16">
        <f>C12-3*C13</f>
        <v>1</v>
      </c>
      <c r="D16" s="16">
        <f t="shared" ref="D16:H16" si="6">D12-3*D13</f>
        <v>0</v>
      </c>
      <c r="E16" s="27">
        <f t="shared" si="6"/>
        <v>3</v>
      </c>
      <c r="F16" s="17">
        <f t="shared" si="6"/>
        <v>4</v>
      </c>
      <c r="G16" s="16">
        <f t="shared" si="6"/>
        <v>0</v>
      </c>
      <c r="H16" s="16">
        <f t="shared" si="6"/>
        <v>-3</v>
      </c>
    </row>
    <row r="17" spans="2:8" x14ac:dyDescent="0.25">
      <c r="B17" s="16" t="s">
        <v>45</v>
      </c>
      <c r="C17" s="16">
        <f>C13</f>
        <v>0</v>
      </c>
      <c r="D17" s="16">
        <f t="shared" ref="D17:H17" si="7">D13</f>
        <v>1</v>
      </c>
      <c r="E17" s="16">
        <v>0</v>
      </c>
      <c r="F17" s="17">
        <f t="shared" si="7"/>
        <v>-1</v>
      </c>
      <c r="G17" s="16">
        <f t="shared" si="7"/>
        <v>0</v>
      </c>
      <c r="H17" s="16">
        <f t="shared" si="7"/>
        <v>1</v>
      </c>
    </row>
    <row r="18" spans="2:8" x14ac:dyDescent="0.25">
      <c r="B18" s="16" t="s">
        <v>41</v>
      </c>
      <c r="C18" s="16">
        <f>C14</f>
        <v>0</v>
      </c>
      <c r="D18" s="16">
        <f t="shared" ref="D18:H18" si="8">D14</f>
        <v>0</v>
      </c>
      <c r="E18" s="16">
        <f t="shared" si="8"/>
        <v>1</v>
      </c>
      <c r="F18" s="17">
        <f t="shared" si="8"/>
        <v>-1</v>
      </c>
      <c r="G18" s="16">
        <f t="shared" si="8"/>
        <v>1</v>
      </c>
      <c r="H18" s="16">
        <f t="shared" si="8"/>
        <v>0</v>
      </c>
    </row>
    <row r="20" spans="2:8" x14ac:dyDescent="0.25">
      <c r="B20" s="16" t="s">
        <v>40</v>
      </c>
      <c r="C20" s="16">
        <f>C16-3*C18</f>
        <v>1</v>
      </c>
      <c r="D20" s="16">
        <f t="shared" ref="D20:H20" si="9">D16-3*D18</f>
        <v>0</v>
      </c>
      <c r="E20" s="16">
        <f t="shared" si="9"/>
        <v>0</v>
      </c>
      <c r="F20" s="17">
        <f t="shared" si="9"/>
        <v>7</v>
      </c>
      <c r="G20" s="16">
        <f t="shared" si="9"/>
        <v>-3</v>
      </c>
      <c r="H20" s="16">
        <f t="shared" si="9"/>
        <v>-3</v>
      </c>
    </row>
    <row r="21" spans="2:8" x14ac:dyDescent="0.25">
      <c r="B21" s="16" t="s">
        <v>45</v>
      </c>
      <c r="C21" s="16">
        <f>C17</f>
        <v>0</v>
      </c>
      <c r="D21" s="16">
        <f t="shared" ref="D21:H21" si="10">D17</f>
        <v>1</v>
      </c>
      <c r="E21" s="16">
        <f t="shared" si="10"/>
        <v>0</v>
      </c>
      <c r="F21" s="17">
        <f t="shared" si="10"/>
        <v>-1</v>
      </c>
      <c r="G21" s="16">
        <f t="shared" si="10"/>
        <v>0</v>
      </c>
      <c r="H21" s="16">
        <f t="shared" si="10"/>
        <v>1</v>
      </c>
    </row>
    <row r="22" spans="2:8" x14ac:dyDescent="0.25">
      <c r="B22" s="16" t="s">
        <v>41</v>
      </c>
      <c r="C22" s="16">
        <f>C18</f>
        <v>0</v>
      </c>
      <c r="D22" s="16">
        <f t="shared" ref="D22:H22" si="11">D18</f>
        <v>0</v>
      </c>
      <c r="E22" s="16">
        <f t="shared" si="11"/>
        <v>1</v>
      </c>
      <c r="F22" s="17">
        <f t="shared" si="11"/>
        <v>-1</v>
      </c>
      <c r="G22" s="16">
        <f t="shared" si="11"/>
        <v>1</v>
      </c>
      <c r="H22" s="16">
        <f t="shared" si="11"/>
        <v>0</v>
      </c>
    </row>
    <row r="24" spans="2:8" x14ac:dyDescent="0.25">
      <c r="F24" s="17">
        <f>F20</f>
        <v>7</v>
      </c>
      <c r="G24" s="16">
        <f t="shared" ref="G24:H24" si="12">G20</f>
        <v>-3</v>
      </c>
      <c r="H24" s="16">
        <f t="shared" si="12"/>
        <v>-3</v>
      </c>
    </row>
    <row r="25" spans="2:8" x14ac:dyDescent="0.25">
      <c r="F25" s="17">
        <f t="shared" ref="F25:H26" si="13">F21</f>
        <v>-1</v>
      </c>
      <c r="G25" s="16">
        <f t="shared" si="13"/>
        <v>0</v>
      </c>
      <c r="H25" s="16">
        <f t="shared" si="13"/>
        <v>1</v>
      </c>
    </row>
    <row r="26" spans="2:8" x14ac:dyDescent="0.25">
      <c r="C26" s="19"/>
      <c r="D26" s="19"/>
      <c r="E26" s="19"/>
      <c r="F26" s="28">
        <f t="shared" si="13"/>
        <v>-1</v>
      </c>
      <c r="G26" s="19">
        <f t="shared" si="13"/>
        <v>1</v>
      </c>
      <c r="H26" s="19">
        <f t="shared" si="13"/>
        <v>0</v>
      </c>
    </row>
    <row r="27" spans="2:8" x14ac:dyDescent="0.25">
      <c r="C27" s="16">
        <f>C3</f>
        <v>1</v>
      </c>
      <c r="D27" s="16">
        <f t="shared" ref="D27:E27" si="14">D3</f>
        <v>3</v>
      </c>
      <c r="E27" s="16">
        <f t="shared" si="14"/>
        <v>3</v>
      </c>
      <c r="F27" s="17">
        <f>C27*F24+D27*F25+E27*F26</f>
        <v>1</v>
      </c>
      <c r="G27" s="16">
        <f>C27*G24+D27*G25+E27*G26</f>
        <v>0</v>
      </c>
      <c r="H27" s="16">
        <f>C27*H24+D27*H25+E27*H26</f>
        <v>0</v>
      </c>
    </row>
    <row r="28" spans="2:8" x14ac:dyDescent="0.25">
      <c r="C28" s="16">
        <f t="shared" ref="C28:E29" si="15">C4</f>
        <v>1</v>
      </c>
      <c r="D28" s="16">
        <f t="shared" si="15"/>
        <v>3</v>
      </c>
      <c r="E28" s="16">
        <f t="shared" si="15"/>
        <v>4</v>
      </c>
      <c r="F28" s="17">
        <f>C28*F24+D28*F25+E28*F26</f>
        <v>0</v>
      </c>
      <c r="G28" s="16">
        <f>C28*G24+D28*G25+E28*G26</f>
        <v>1</v>
      </c>
      <c r="H28" s="16">
        <f>C28*H24+D28*H25+E28*H26</f>
        <v>0</v>
      </c>
    </row>
    <row r="29" spans="2:8" x14ac:dyDescent="0.25">
      <c r="C29" s="16">
        <f t="shared" si="15"/>
        <v>1</v>
      </c>
      <c r="D29" s="16">
        <f t="shared" si="15"/>
        <v>4</v>
      </c>
      <c r="E29" s="16">
        <f t="shared" si="15"/>
        <v>3</v>
      </c>
      <c r="F29" s="17">
        <f>C29*F24+D29*F25+E29*F26</f>
        <v>0</v>
      </c>
      <c r="G29" s="16">
        <f>C29*G24+D29*G25+E29*G26</f>
        <v>0</v>
      </c>
      <c r="H29" s="16">
        <f>C29*H24+D29*H25+E29*H26</f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25D9-C440-1642-A42C-C3ED53EE8613}">
  <dimension ref="B3:J25"/>
  <sheetViews>
    <sheetView topLeftCell="A6" zoomScale="150" zoomScaleNormal="150" workbookViewId="0">
      <selection activeCell="K12" sqref="K12:L12"/>
    </sheetView>
  </sheetViews>
  <sheetFormatPr baseColWidth="10" defaultRowHeight="19" x14ac:dyDescent="0.25"/>
  <cols>
    <col min="1" max="1" width="10.83203125" style="16"/>
    <col min="2" max="2" width="17.6640625" style="16" customWidth="1"/>
    <col min="3" max="16384" width="10.83203125" style="16"/>
  </cols>
  <sheetData>
    <row r="3" spans="2:10" x14ac:dyDescent="0.25">
      <c r="C3" s="30">
        <v>2</v>
      </c>
      <c r="D3" s="16">
        <v>2</v>
      </c>
      <c r="E3" s="16">
        <v>-5</v>
      </c>
      <c r="F3" s="17">
        <v>1</v>
      </c>
      <c r="G3" s="16">
        <v>0</v>
      </c>
      <c r="H3" s="16">
        <v>0</v>
      </c>
      <c r="J3" s="16" t="s">
        <v>46</v>
      </c>
    </row>
    <row r="4" spans="2:10" x14ac:dyDescent="0.25">
      <c r="C4" s="27">
        <v>-2</v>
      </c>
      <c r="D4" s="16">
        <v>-1</v>
      </c>
      <c r="E4" s="16">
        <v>4</v>
      </c>
      <c r="F4" s="17">
        <v>0</v>
      </c>
      <c r="G4" s="16">
        <v>1</v>
      </c>
      <c r="H4" s="16">
        <v>0</v>
      </c>
      <c r="J4" s="16" t="s">
        <v>47</v>
      </c>
    </row>
    <row r="5" spans="2:10" x14ac:dyDescent="0.25">
      <c r="C5" s="27">
        <v>1</v>
      </c>
      <c r="D5" s="16">
        <v>0</v>
      </c>
      <c r="E5" s="16">
        <v>-1</v>
      </c>
      <c r="F5" s="17">
        <v>0</v>
      </c>
      <c r="G5" s="16">
        <v>0</v>
      </c>
      <c r="H5" s="16">
        <v>1</v>
      </c>
      <c r="J5" s="16" t="s">
        <v>48</v>
      </c>
    </row>
    <row r="6" spans="2:10" x14ac:dyDescent="0.25">
      <c r="J6" s="16" t="s">
        <v>49</v>
      </c>
    </row>
    <row r="7" spans="2:10" x14ac:dyDescent="0.25">
      <c r="J7" s="16" t="s">
        <v>50</v>
      </c>
    </row>
    <row r="8" spans="2:10" x14ac:dyDescent="0.25">
      <c r="B8" s="16" t="s">
        <v>51</v>
      </c>
      <c r="C8" s="16">
        <f>C3/2</f>
        <v>1</v>
      </c>
      <c r="D8" s="27">
        <f t="shared" ref="D8:H8" si="0">D3/2</f>
        <v>1</v>
      </c>
      <c r="E8" s="16">
        <f t="shared" si="0"/>
        <v>-2.5</v>
      </c>
      <c r="F8" s="17">
        <f t="shared" si="0"/>
        <v>0.5</v>
      </c>
      <c r="G8" s="16">
        <f t="shared" si="0"/>
        <v>0</v>
      </c>
      <c r="H8" s="16">
        <f t="shared" si="0"/>
        <v>0</v>
      </c>
    </row>
    <row r="9" spans="2:10" x14ac:dyDescent="0.25">
      <c r="B9" s="16" t="s">
        <v>52</v>
      </c>
      <c r="C9" s="16">
        <f>C4+C3</f>
        <v>0</v>
      </c>
      <c r="D9" s="30">
        <f t="shared" ref="D9:H9" si="1">D4+D3</f>
        <v>1</v>
      </c>
      <c r="E9" s="16">
        <f t="shared" si="1"/>
        <v>-1</v>
      </c>
      <c r="F9" s="17">
        <f t="shared" si="1"/>
        <v>1</v>
      </c>
      <c r="G9" s="16">
        <f t="shared" si="1"/>
        <v>1</v>
      </c>
      <c r="H9" s="16">
        <f t="shared" si="1"/>
        <v>0</v>
      </c>
    </row>
    <row r="10" spans="2:10" x14ac:dyDescent="0.25">
      <c r="B10" s="16" t="s">
        <v>53</v>
      </c>
      <c r="C10" s="16">
        <f>C5-C3/2</f>
        <v>0</v>
      </c>
      <c r="D10" s="27">
        <f t="shared" ref="D10:H10" si="2">D5-D3/2</f>
        <v>-1</v>
      </c>
      <c r="E10" s="16">
        <f t="shared" si="2"/>
        <v>1.5</v>
      </c>
      <c r="F10" s="17">
        <f t="shared" si="2"/>
        <v>-0.5</v>
      </c>
      <c r="G10" s="16">
        <f t="shared" si="2"/>
        <v>0</v>
      </c>
      <c r="H10" s="16">
        <f t="shared" si="2"/>
        <v>1</v>
      </c>
    </row>
    <row r="12" spans="2:10" x14ac:dyDescent="0.25">
      <c r="B12" s="16" t="s">
        <v>54</v>
      </c>
      <c r="C12" s="16">
        <f>C8-C9</f>
        <v>1</v>
      </c>
      <c r="D12" s="16">
        <f t="shared" ref="D12:H12" si="3">D8-D9</f>
        <v>0</v>
      </c>
      <c r="E12" s="27">
        <f t="shared" si="3"/>
        <v>-1.5</v>
      </c>
      <c r="F12" s="17">
        <f t="shared" si="3"/>
        <v>-0.5</v>
      </c>
      <c r="G12" s="16">
        <f t="shared" si="3"/>
        <v>-1</v>
      </c>
      <c r="H12" s="16">
        <f t="shared" si="3"/>
        <v>0</v>
      </c>
    </row>
    <row r="13" spans="2:10" x14ac:dyDescent="0.25">
      <c r="B13" s="16" t="s">
        <v>45</v>
      </c>
      <c r="C13" s="16">
        <f>C9</f>
        <v>0</v>
      </c>
      <c r="D13" s="16">
        <f t="shared" ref="D13:H13" si="4">D9</f>
        <v>1</v>
      </c>
      <c r="E13" s="27">
        <f t="shared" si="4"/>
        <v>-1</v>
      </c>
      <c r="F13" s="17">
        <f t="shared" si="4"/>
        <v>1</v>
      </c>
      <c r="G13" s="16">
        <f t="shared" si="4"/>
        <v>1</v>
      </c>
      <c r="H13" s="16">
        <f t="shared" si="4"/>
        <v>0</v>
      </c>
    </row>
    <row r="14" spans="2:10" x14ac:dyDescent="0.25">
      <c r="B14" s="16" t="s">
        <v>55</v>
      </c>
      <c r="C14" s="16">
        <f>C10+C9</f>
        <v>0</v>
      </c>
      <c r="D14" s="16">
        <f t="shared" ref="D14:H14" si="5">D10+D9</f>
        <v>0</v>
      </c>
      <c r="E14" s="30">
        <f t="shared" si="5"/>
        <v>0.5</v>
      </c>
      <c r="F14" s="17">
        <f t="shared" si="5"/>
        <v>0.5</v>
      </c>
      <c r="G14" s="16">
        <f t="shared" si="5"/>
        <v>1</v>
      </c>
      <c r="H14" s="16">
        <f t="shared" si="5"/>
        <v>1</v>
      </c>
    </row>
    <row r="16" spans="2:10" x14ac:dyDescent="0.25">
      <c r="B16" s="16" t="s">
        <v>56</v>
      </c>
      <c r="C16" s="16">
        <f>C12+3*C14</f>
        <v>1</v>
      </c>
      <c r="D16" s="16">
        <f t="shared" ref="D16:H16" si="6">D12+3*D14</f>
        <v>0</v>
      </c>
      <c r="E16" s="16">
        <f t="shared" si="6"/>
        <v>0</v>
      </c>
      <c r="F16" s="17">
        <f t="shared" si="6"/>
        <v>1</v>
      </c>
      <c r="G16" s="16">
        <f t="shared" si="6"/>
        <v>2</v>
      </c>
      <c r="H16" s="16">
        <f t="shared" si="6"/>
        <v>3</v>
      </c>
    </row>
    <row r="17" spans="2:8" x14ac:dyDescent="0.25">
      <c r="B17" s="16" t="s">
        <v>57</v>
      </c>
      <c r="C17" s="16">
        <f>C13+2*C14</f>
        <v>0</v>
      </c>
      <c r="D17" s="16">
        <f t="shared" ref="D17:H17" si="7">D13+2*D14</f>
        <v>1</v>
      </c>
      <c r="E17" s="16">
        <f t="shared" si="7"/>
        <v>0</v>
      </c>
      <c r="F17" s="17">
        <f t="shared" si="7"/>
        <v>2</v>
      </c>
      <c r="G17" s="16">
        <f t="shared" si="7"/>
        <v>3</v>
      </c>
      <c r="H17" s="16">
        <f t="shared" si="7"/>
        <v>2</v>
      </c>
    </row>
    <row r="18" spans="2:8" x14ac:dyDescent="0.25">
      <c r="B18" s="16" t="s">
        <v>58</v>
      </c>
      <c r="C18" s="16">
        <f>C14*2</f>
        <v>0</v>
      </c>
      <c r="D18" s="16">
        <f t="shared" ref="D18:H18" si="8">D14*2</f>
        <v>0</v>
      </c>
      <c r="E18" s="16">
        <f t="shared" si="8"/>
        <v>1</v>
      </c>
      <c r="F18" s="17">
        <f t="shared" si="8"/>
        <v>1</v>
      </c>
      <c r="G18" s="16">
        <f t="shared" si="8"/>
        <v>2</v>
      </c>
      <c r="H18" s="16">
        <f t="shared" si="8"/>
        <v>2</v>
      </c>
    </row>
    <row r="20" spans="2:8" x14ac:dyDescent="0.25">
      <c r="F20" s="17">
        <f>F16</f>
        <v>1</v>
      </c>
      <c r="G20" s="16">
        <f t="shared" ref="G20:H20" si="9">G16</f>
        <v>2</v>
      </c>
      <c r="H20" s="16">
        <f t="shared" si="9"/>
        <v>3</v>
      </c>
    </row>
    <row r="21" spans="2:8" x14ac:dyDescent="0.25">
      <c r="F21" s="17">
        <f t="shared" ref="F21:H22" si="10">F17</f>
        <v>2</v>
      </c>
      <c r="G21" s="16">
        <f t="shared" si="10"/>
        <v>3</v>
      </c>
      <c r="H21" s="16">
        <f t="shared" si="10"/>
        <v>2</v>
      </c>
    </row>
    <row r="22" spans="2:8" x14ac:dyDescent="0.25">
      <c r="C22" s="19"/>
      <c r="D22" s="19"/>
      <c r="E22" s="19"/>
      <c r="F22" s="28">
        <f t="shared" si="10"/>
        <v>1</v>
      </c>
      <c r="G22" s="19">
        <f t="shared" si="10"/>
        <v>2</v>
      </c>
      <c r="H22" s="19">
        <f t="shared" si="10"/>
        <v>2</v>
      </c>
    </row>
    <row r="23" spans="2:8" x14ac:dyDescent="0.25">
      <c r="C23" s="16">
        <f>C3</f>
        <v>2</v>
      </c>
      <c r="D23" s="16">
        <f t="shared" ref="D23:E23" si="11">D3</f>
        <v>2</v>
      </c>
      <c r="E23" s="16">
        <f t="shared" si="11"/>
        <v>-5</v>
      </c>
      <c r="F23" s="17">
        <f>C23*F20+D23*F21+E23*F22</f>
        <v>1</v>
      </c>
      <c r="G23" s="16">
        <f>C23*G20+D23*G21+E23*G22</f>
        <v>0</v>
      </c>
      <c r="H23" s="16">
        <f>C23*H20+D23*H21+E23*H22</f>
        <v>0</v>
      </c>
    </row>
    <row r="24" spans="2:8" x14ac:dyDescent="0.25">
      <c r="C24" s="16">
        <f t="shared" ref="C24:E25" si="12">C4</f>
        <v>-2</v>
      </c>
      <c r="D24" s="16">
        <f t="shared" si="12"/>
        <v>-1</v>
      </c>
      <c r="E24" s="16">
        <f t="shared" si="12"/>
        <v>4</v>
      </c>
      <c r="F24" s="17">
        <f>C24*F20+D24*F21+E24*F22</f>
        <v>0</v>
      </c>
      <c r="G24" s="16">
        <f>C24*G20+D24*G21+E24*G22</f>
        <v>1</v>
      </c>
      <c r="H24" s="16">
        <f>C24*H20+D24*H21+E24*H22</f>
        <v>0</v>
      </c>
    </row>
    <row r="25" spans="2:8" x14ac:dyDescent="0.25">
      <c r="C25" s="16">
        <f t="shared" si="12"/>
        <v>1</v>
      </c>
      <c r="D25" s="16">
        <f t="shared" si="12"/>
        <v>0</v>
      </c>
      <c r="E25" s="16">
        <f t="shared" si="12"/>
        <v>-1</v>
      </c>
      <c r="F25" s="17">
        <f>C25*F20+D25*F21+E25*F22</f>
        <v>0</v>
      </c>
      <c r="G25" s="16">
        <f>C25*G20+D25*G21+E25*G22</f>
        <v>0</v>
      </c>
      <c r="H25" s="16">
        <f>C25*H20+D25*H21+E25*H22</f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E894-1D65-CD4C-9A94-A43425EAF64F}">
  <dimension ref="B3:H17"/>
  <sheetViews>
    <sheetView zoomScale="170" zoomScaleNormal="170" workbookViewId="0">
      <selection activeCell="F12" sqref="F12"/>
    </sheetView>
  </sheetViews>
  <sheetFormatPr baseColWidth="10" defaultRowHeight="16" x14ac:dyDescent="0.2"/>
  <cols>
    <col min="2" max="2" width="28.1640625" bestFit="1" customWidth="1"/>
  </cols>
  <sheetData>
    <row r="3" spans="2:8" x14ac:dyDescent="0.2">
      <c r="C3" s="31">
        <v>1</v>
      </c>
      <c r="D3">
        <f t="shared" ref="D3:E5" ca="1" si="0">RANDBETWEEN(1,8)</f>
        <v>3</v>
      </c>
      <c r="E3">
        <f t="shared" ca="1" si="0"/>
        <v>7</v>
      </c>
      <c r="F3">
        <v>1</v>
      </c>
      <c r="G3">
        <v>0</v>
      </c>
      <c r="H3">
        <v>0</v>
      </c>
    </row>
    <row r="4" spans="2:8" x14ac:dyDescent="0.2">
      <c r="C4" s="11">
        <f t="shared" ref="C4:C5" ca="1" si="1">RANDBETWEEN(1,8)</f>
        <v>4</v>
      </c>
      <c r="D4">
        <v>0</v>
      </c>
      <c r="E4">
        <f t="shared" ca="1" si="0"/>
        <v>6</v>
      </c>
      <c r="F4">
        <v>0</v>
      </c>
      <c r="G4">
        <v>1</v>
      </c>
      <c r="H4">
        <v>0</v>
      </c>
    </row>
    <row r="5" spans="2:8" x14ac:dyDescent="0.2">
      <c r="C5" s="11">
        <f t="shared" ca="1" si="1"/>
        <v>2</v>
      </c>
      <c r="D5">
        <f t="shared" ca="1" si="0"/>
        <v>4</v>
      </c>
      <c r="E5">
        <v>0</v>
      </c>
      <c r="F5">
        <v>0</v>
      </c>
      <c r="G5">
        <v>0</v>
      </c>
      <c r="H5">
        <v>1</v>
      </c>
    </row>
    <row r="7" spans="2:8" ht="18" x14ac:dyDescent="0.25">
      <c r="B7" t="s">
        <v>67</v>
      </c>
      <c r="C7">
        <f>C3/$C$3</f>
        <v>1</v>
      </c>
      <c r="D7" s="11">
        <f t="shared" ref="D7:H7" ca="1" si="2">D3/$C$3</f>
        <v>3</v>
      </c>
      <c r="E7">
        <f t="shared" ca="1" si="2"/>
        <v>7</v>
      </c>
      <c r="F7">
        <f t="shared" si="2"/>
        <v>1</v>
      </c>
      <c r="G7">
        <f t="shared" si="2"/>
        <v>0</v>
      </c>
      <c r="H7">
        <f t="shared" si="2"/>
        <v>0</v>
      </c>
    </row>
    <row r="8" spans="2:8" ht="18" x14ac:dyDescent="0.25">
      <c r="B8" t="s">
        <v>68</v>
      </c>
      <c r="C8">
        <f ca="1">C4-($C$4/$C$3)*C3</f>
        <v>0</v>
      </c>
      <c r="D8" s="31">
        <f t="shared" ref="D8:H8" ca="1" si="3">D4-($C$4/$C$3)*D3</f>
        <v>-12</v>
      </c>
      <c r="E8">
        <f t="shared" ca="1" si="3"/>
        <v>-22</v>
      </c>
      <c r="F8">
        <f t="shared" ca="1" si="3"/>
        <v>-4</v>
      </c>
      <c r="G8">
        <f t="shared" ca="1" si="3"/>
        <v>1</v>
      </c>
      <c r="H8">
        <f t="shared" ca="1" si="3"/>
        <v>0</v>
      </c>
    </row>
    <row r="9" spans="2:8" ht="18" x14ac:dyDescent="0.25">
      <c r="B9" t="s">
        <v>69</v>
      </c>
      <c r="C9">
        <f ca="1">C5-$C$5/$C$3*C3</f>
        <v>0</v>
      </c>
      <c r="D9" s="11">
        <f t="shared" ref="D9:H9" ca="1" si="4">D5-$C$5/$C$3*D3</f>
        <v>-2</v>
      </c>
      <c r="E9">
        <f t="shared" ca="1" si="4"/>
        <v>-14</v>
      </c>
      <c r="F9">
        <f t="shared" ca="1" si="4"/>
        <v>-2</v>
      </c>
      <c r="G9">
        <f t="shared" ca="1" si="4"/>
        <v>0</v>
      </c>
      <c r="H9">
        <f t="shared" ca="1" si="4"/>
        <v>1</v>
      </c>
    </row>
    <row r="11" spans="2:8" ht="18" x14ac:dyDescent="0.25">
      <c r="B11" t="s">
        <v>70</v>
      </c>
      <c r="C11">
        <f ca="1">C7-($D$7/$D$8)*C8</f>
        <v>1</v>
      </c>
      <c r="D11">
        <f t="shared" ref="D11:H11" ca="1" si="5">D7-($D$7/$D$8)*D8</f>
        <v>0</v>
      </c>
      <c r="E11" s="11">
        <f t="shared" ca="1" si="5"/>
        <v>1.5</v>
      </c>
      <c r="F11">
        <f t="shared" ca="1" si="5"/>
        <v>0</v>
      </c>
      <c r="G11">
        <f t="shared" ca="1" si="5"/>
        <v>0.25</v>
      </c>
      <c r="H11">
        <f t="shared" ca="1" si="5"/>
        <v>0</v>
      </c>
    </row>
    <row r="12" spans="2:8" ht="18" x14ac:dyDescent="0.25">
      <c r="B12" t="s">
        <v>71</v>
      </c>
      <c r="C12">
        <f ca="1">C8/$D$8</f>
        <v>0</v>
      </c>
      <c r="D12">
        <f t="shared" ref="D12:H12" ca="1" si="6">D8/$D$8</f>
        <v>1</v>
      </c>
      <c r="E12" s="47">
        <f t="shared" ca="1" si="6"/>
        <v>1.8333333333333333</v>
      </c>
      <c r="F12" s="48">
        <f t="shared" ca="1" si="6"/>
        <v>0.33333333333333331</v>
      </c>
      <c r="G12" s="48">
        <f t="shared" ca="1" si="6"/>
        <v>-8.3333333333333329E-2</v>
      </c>
      <c r="H12">
        <f t="shared" ca="1" si="6"/>
        <v>0</v>
      </c>
    </row>
    <row r="13" spans="2:8" ht="18" x14ac:dyDescent="0.25">
      <c r="B13" t="s">
        <v>72</v>
      </c>
      <c r="C13">
        <f ca="1">C9-($D$9/$D$8)*C8</f>
        <v>0</v>
      </c>
      <c r="D13">
        <f ca="1">D9-($D$9/$D$8)*D8</f>
        <v>0</v>
      </c>
      <c r="E13" s="49">
        <f t="shared" ref="E13:H13" ca="1" si="7">E9-($D$9/$D$8)*E8</f>
        <v>-10.333333333333334</v>
      </c>
      <c r="F13" s="48">
        <f t="shared" ca="1" si="7"/>
        <v>-1.3333333333333335</v>
      </c>
      <c r="G13" s="48">
        <f t="shared" ca="1" si="7"/>
        <v>-0.16666666666666666</v>
      </c>
      <c r="H13">
        <f t="shared" ca="1" si="7"/>
        <v>1</v>
      </c>
    </row>
    <row r="15" spans="2:8" ht="18" x14ac:dyDescent="0.25">
      <c r="B15" t="s">
        <v>59</v>
      </c>
      <c r="C15">
        <f ca="1">C11-$E$11/$E$13*C13</f>
        <v>1</v>
      </c>
      <c r="D15">
        <f t="shared" ref="D15:H15" ca="1" si="8">D11-$E$11/$E$13*D13</f>
        <v>0</v>
      </c>
      <c r="E15">
        <f t="shared" ca="1" si="8"/>
        <v>0</v>
      </c>
      <c r="F15" s="48">
        <f t="shared" ca="1" si="8"/>
        <v>-0.19354838709677419</v>
      </c>
      <c r="G15" s="48">
        <f t="shared" ca="1" si="8"/>
        <v>0.22580645161290322</v>
      </c>
      <c r="H15" s="48">
        <f t="shared" ca="1" si="8"/>
        <v>0.14516129032258063</v>
      </c>
    </row>
    <row r="16" spans="2:8" ht="18" x14ac:dyDescent="0.25">
      <c r="B16" t="s">
        <v>60</v>
      </c>
      <c r="C16">
        <f ca="1">C12-$E$12/$E$13*C13</f>
        <v>0</v>
      </c>
      <c r="D16">
        <f t="shared" ref="D16:H16" ca="1" si="9">D12-$E$12/$E$13*D13</f>
        <v>1</v>
      </c>
      <c r="E16">
        <f t="shared" ca="1" si="9"/>
        <v>0</v>
      </c>
      <c r="F16" s="48">
        <f t="shared" ca="1" si="9"/>
        <v>9.6774193548387066E-2</v>
      </c>
      <c r="G16" s="48">
        <f t="shared" ca="1" si="9"/>
        <v>-0.1129032258064516</v>
      </c>
      <c r="H16" s="48">
        <f t="shared" ca="1" si="9"/>
        <v>0.17741935483870966</v>
      </c>
    </row>
    <row r="17" spans="2:8" ht="18" x14ac:dyDescent="0.25">
      <c r="B17" t="s">
        <v>73</v>
      </c>
      <c r="C17">
        <f ca="1">C13/$E$13</f>
        <v>0</v>
      </c>
      <c r="D17">
        <f t="shared" ref="D17:H17" ca="1" si="10">D13/$E$13</f>
        <v>0</v>
      </c>
      <c r="E17">
        <f t="shared" ca="1" si="10"/>
        <v>1</v>
      </c>
      <c r="F17" s="48">
        <f t="shared" ca="1" si="10"/>
        <v>0.12903225806451613</v>
      </c>
      <c r="G17" s="48">
        <f t="shared" ca="1" si="10"/>
        <v>1.6129032258064516E-2</v>
      </c>
      <c r="H17" s="48">
        <f t="shared" ca="1" si="10"/>
        <v>-9.6774193548387094E-2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F004-41FF-164E-95BD-E46EA0A6E48B}">
  <dimension ref="B2:K23"/>
  <sheetViews>
    <sheetView zoomScale="150" zoomScaleNormal="150" workbookViewId="0">
      <selection activeCell="H13" sqref="H13"/>
    </sheetView>
  </sheetViews>
  <sheetFormatPr baseColWidth="10" defaultRowHeight="19" x14ac:dyDescent="0.25"/>
  <cols>
    <col min="1" max="1" width="10.83203125" style="16"/>
    <col min="2" max="2" width="18.83203125" style="16" customWidth="1"/>
    <col min="3" max="3" width="5.83203125" style="16" customWidth="1"/>
    <col min="4" max="4" width="4.83203125" style="16" customWidth="1"/>
    <col min="5" max="11" width="5.83203125" style="16" customWidth="1"/>
    <col min="12" max="16384" width="10.83203125" style="16"/>
  </cols>
  <sheetData>
    <row r="2" spans="2:11" x14ac:dyDescent="0.25">
      <c r="E2" s="16">
        <v>1</v>
      </c>
      <c r="F2" s="16">
        <v>2</v>
      </c>
      <c r="G2" s="16">
        <v>4</v>
      </c>
      <c r="H2" s="32">
        <v>2</v>
      </c>
      <c r="I2" s="17">
        <v>1</v>
      </c>
      <c r="J2" s="16">
        <v>0</v>
      </c>
      <c r="K2" s="16">
        <v>0</v>
      </c>
    </row>
    <row r="3" spans="2:11" x14ac:dyDescent="0.25">
      <c r="E3" s="16">
        <v>2</v>
      </c>
      <c r="F3" s="16">
        <v>6</v>
      </c>
      <c r="G3" s="16">
        <v>8</v>
      </c>
      <c r="H3" s="32">
        <v>2</v>
      </c>
      <c r="I3" s="17">
        <v>0</v>
      </c>
      <c r="J3" s="16">
        <v>1</v>
      </c>
      <c r="K3" s="16">
        <v>0</v>
      </c>
    </row>
    <row r="4" spans="2:11" x14ac:dyDescent="0.25">
      <c r="E4" s="16">
        <v>4</v>
      </c>
      <c r="F4" s="16">
        <v>8</v>
      </c>
      <c r="G4" s="16">
        <v>20</v>
      </c>
      <c r="H4" s="32">
        <v>6</v>
      </c>
      <c r="I4" s="17">
        <v>0</v>
      </c>
      <c r="J4" s="16">
        <v>0</v>
      </c>
      <c r="K4" s="16">
        <v>1</v>
      </c>
    </row>
    <row r="6" spans="2:11" x14ac:dyDescent="0.25">
      <c r="B6" s="16" t="str">
        <f>"[I] : "&amp;C6</f>
        <v>[I] : 1</v>
      </c>
      <c r="C6" s="16">
        <f>E2</f>
        <v>1</v>
      </c>
      <c r="E6" s="16">
        <f>E2/$C$6</f>
        <v>1</v>
      </c>
      <c r="F6" s="16">
        <f t="shared" ref="F6:K6" si="0">F2/$C$6</f>
        <v>2</v>
      </c>
      <c r="G6" s="16">
        <f t="shared" si="0"/>
        <v>4</v>
      </c>
      <c r="H6" s="32">
        <f t="shared" si="0"/>
        <v>2</v>
      </c>
      <c r="I6" s="16">
        <f t="shared" si="0"/>
        <v>1</v>
      </c>
      <c r="J6" s="16">
        <f t="shared" si="0"/>
        <v>0</v>
      </c>
      <c r="K6" s="16">
        <f t="shared" si="0"/>
        <v>0</v>
      </c>
    </row>
    <row r="7" spans="2:11" x14ac:dyDescent="0.25">
      <c r="B7" s="16" t="str">
        <f>"[II] + "&amp;C7&amp;" * [I]"</f>
        <v>[II] + -2 * [I]</v>
      </c>
      <c r="C7" s="16">
        <f>-E3/E2</f>
        <v>-2</v>
      </c>
      <c r="E7" s="16">
        <f>E3+$C$7*E2</f>
        <v>0</v>
      </c>
      <c r="F7" s="16">
        <f t="shared" ref="F7:K7" si="1">F3+$C$7*F2</f>
        <v>2</v>
      </c>
      <c r="G7" s="16">
        <f t="shared" si="1"/>
        <v>0</v>
      </c>
      <c r="H7" s="32">
        <f t="shared" si="1"/>
        <v>-2</v>
      </c>
      <c r="I7" s="16">
        <f t="shared" si="1"/>
        <v>-2</v>
      </c>
      <c r="J7" s="16">
        <f t="shared" si="1"/>
        <v>1</v>
      </c>
      <c r="K7" s="16">
        <f t="shared" si="1"/>
        <v>0</v>
      </c>
    </row>
    <row r="8" spans="2:11" x14ac:dyDescent="0.25">
      <c r="B8" s="16" t="str">
        <f>"[III] + "&amp;C8&amp;" * [I]"</f>
        <v>[III] + -4 * [I]</v>
      </c>
      <c r="C8" s="16">
        <f>-E4/E2</f>
        <v>-4</v>
      </c>
      <c r="E8" s="16">
        <f>E4+$C$8*E2</f>
        <v>0</v>
      </c>
      <c r="F8" s="16">
        <f t="shared" ref="F8:K8" si="2">F4+$C$8*F2</f>
        <v>0</v>
      </c>
      <c r="G8" s="16">
        <f t="shared" si="2"/>
        <v>4</v>
      </c>
      <c r="H8" s="32">
        <f t="shared" si="2"/>
        <v>-2</v>
      </c>
      <c r="I8" s="16">
        <f t="shared" si="2"/>
        <v>-4</v>
      </c>
      <c r="J8" s="16">
        <f t="shared" si="2"/>
        <v>0</v>
      </c>
      <c r="K8" s="16">
        <f t="shared" si="2"/>
        <v>1</v>
      </c>
    </row>
    <row r="10" spans="2:11" x14ac:dyDescent="0.25">
      <c r="B10" s="16" t="str">
        <f>"[I] + "&amp;C10&amp;" * [II]"</f>
        <v>[I] + -1 * [II]</v>
      </c>
      <c r="C10" s="16">
        <f>-F6/F7</f>
        <v>-1</v>
      </c>
      <c r="E10" s="16">
        <f>E6+$C$10*E7</f>
        <v>1</v>
      </c>
      <c r="F10" s="16">
        <f t="shared" ref="F10:K10" si="3">F6+$C$10*F7</f>
        <v>0</v>
      </c>
      <c r="G10" s="16">
        <f t="shared" si="3"/>
        <v>4</v>
      </c>
      <c r="H10" s="32">
        <f t="shared" si="3"/>
        <v>4</v>
      </c>
      <c r="I10" s="16">
        <f t="shared" si="3"/>
        <v>3</v>
      </c>
      <c r="J10" s="16">
        <f t="shared" si="3"/>
        <v>-1</v>
      </c>
      <c r="K10" s="16">
        <f t="shared" si="3"/>
        <v>0</v>
      </c>
    </row>
    <row r="11" spans="2:11" x14ac:dyDescent="0.25">
      <c r="B11" s="16" t="str">
        <f>"[II] : "&amp;C11</f>
        <v>[II] : 2</v>
      </c>
      <c r="C11" s="16">
        <f>F7</f>
        <v>2</v>
      </c>
      <c r="E11" s="16">
        <f>E7/$C$11</f>
        <v>0</v>
      </c>
      <c r="F11" s="16">
        <f t="shared" ref="F11:K11" si="4">F7/$C$11</f>
        <v>1</v>
      </c>
      <c r="G11" s="16">
        <f t="shared" si="4"/>
        <v>0</v>
      </c>
      <c r="H11" s="32">
        <f t="shared" si="4"/>
        <v>-1</v>
      </c>
      <c r="I11" s="16">
        <f t="shared" si="4"/>
        <v>-1</v>
      </c>
      <c r="J11" s="16">
        <f t="shared" si="4"/>
        <v>0.5</v>
      </c>
      <c r="K11" s="16">
        <f t="shared" si="4"/>
        <v>0</v>
      </c>
    </row>
    <row r="12" spans="2:11" x14ac:dyDescent="0.25">
      <c r="B12" s="16" t="str">
        <f>"[III] + "&amp;C12&amp;" * [II]"</f>
        <v>[III] + 0 * [II]</v>
      </c>
      <c r="C12" s="16">
        <f>-F8/F7</f>
        <v>0</v>
      </c>
      <c r="E12" s="16">
        <f>E8+$C$12*E7</f>
        <v>0</v>
      </c>
      <c r="F12" s="16">
        <f t="shared" ref="F12:K12" si="5">F8+$C$12*F7</f>
        <v>0</v>
      </c>
      <c r="G12" s="16">
        <f t="shared" si="5"/>
        <v>4</v>
      </c>
      <c r="H12" s="32">
        <f t="shared" si="5"/>
        <v>-2</v>
      </c>
      <c r="I12" s="16">
        <f t="shared" si="5"/>
        <v>-4</v>
      </c>
      <c r="J12" s="16">
        <f t="shared" si="5"/>
        <v>0</v>
      </c>
      <c r="K12" s="16">
        <f t="shared" si="5"/>
        <v>1</v>
      </c>
    </row>
    <row r="14" spans="2:11" x14ac:dyDescent="0.25">
      <c r="B14" s="16" t="str">
        <f>"[I] + "&amp;C14&amp;" * [III]"</f>
        <v>[I] + -1 * [III]</v>
      </c>
      <c r="C14" s="16">
        <f>-G10/G12</f>
        <v>-1</v>
      </c>
      <c r="E14" s="16">
        <f t="shared" ref="E14:K14" si="6">E10+$C$14*E12</f>
        <v>1</v>
      </c>
      <c r="F14" s="16">
        <f t="shared" si="6"/>
        <v>0</v>
      </c>
      <c r="G14" s="16">
        <f t="shared" si="6"/>
        <v>0</v>
      </c>
      <c r="H14" s="32">
        <f t="shared" si="6"/>
        <v>6</v>
      </c>
      <c r="I14" s="16">
        <f t="shared" si="6"/>
        <v>7</v>
      </c>
      <c r="J14" s="16">
        <f t="shared" si="6"/>
        <v>-1</v>
      </c>
      <c r="K14" s="16">
        <f t="shared" si="6"/>
        <v>-1</v>
      </c>
    </row>
    <row r="15" spans="2:11" x14ac:dyDescent="0.25">
      <c r="B15" s="16" t="str">
        <f>"[II] + "&amp;C15&amp;" * [III]"</f>
        <v>[II] + 0 * [III]</v>
      </c>
      <c r="C15" s="16">
        <f>-G11/G12</f>
        <v>0</v>
      </c>
      <c r="E15" s="16">
        <f t="shared" ref="E15:K15" si="7">E11+$C$15*E12</f>
        <v>0</v>
      </c>
      <c r="F15" s="16">
        <f t="shared" si="7"/>
        <v>1</v>
      </c>
      <c r="G15" s="16">
        <f t="shared" si="7"/>
        <v>0</v>
      </c>
      <c r="H15" s="32">
        <f t="shared" si="7"/>
        <v>-1</v>
      </c>
      <c r="I15" s="16">
        <f t="shared" si="7"/>
        <v>-1</v>
      </c>
      <c r="J15" s="16">
        <f t="shared" si="7"/>
        <v>0.5</v>
      </c>
      <c r="K15" s="16">
        <f t="shared" si="7"/>
        <v>0</v>
      </c>
    </row>
    <row r="16" spans="2:11" x14ac:dyDescent="0.25">
      <c r="B16" s="16" t="str">
        <f>"[III] : "&amp;C16</f>
        <v>[III] : 4</v>
      </c>
      <c r="C16" s="16">
        <f>G12</f>
        <v>4</v>
      </c>
      <c r="E16" s="16">
        <f t="shared" ref="E16:K16" si="8">E12/$C$16</f>
        <v>0</v>
      </c>
      <c r="F16" s="16">
        <f t="shared" si="8"/>
        <v>0</v>
      </c>
      <c r="G16" s="16">
        <f t="shared" si="8"/>
        <v>1</v>
      </c>
      <c r="H16" s="32">
        <f t="shared" si="8"/>
        <v>-0.5</v>
      </c>
      <c r="I16" s="16">
        <f t="shared" si="8"/>
        <v>-1</v>
      </c>
      <c r="J16" s="16">
        <f t="shared" si="8"/>
        <v>0</v>
      </c>
      <c r="K16" s="16">
        <f t="shared" si="8"/>
        <v>0.25</v>
      </c>
    </row>
    <row r="18" spans="5:11" x14ac:dyDescent="0.25">
      <c r="I18" s="21">
        <f>I14</f>
        <v>7</v>
      </c>
      <c r="J18" s="18">
        <f t="shared" ref="J18:K18" si="9">J14</f>
        <v>-1</v>
      </c>
      <c r="K18" s="18">
        <f t="shared" si="9"/>
        <v>-1</v>
      </c>
    </row>
    <row r="19" spans="5:11" x14ac:dyDescent="0.25">
      <c r="I19" s="21">
        <f t="shared" ref="I19:K20" si="10">I15</f>
        <v>-1</v>
      </c>
      <c r="J19" s="18">
        <f t="shared" si="10"/>
        <v>0.5</v>
      </c>
      <c r="K19" s="18">
        <f t="shared" si="10"/>
        <v>0</v>
      </c>
    </row>
    <row r="20" spans="5:11" x14ac:dyDescent="0.25">
      <c r="E20" s="19"/>
      <c r="F20" s="19"/>
      <c r="G20" s="19"/>
      <c r="H20" s="19"/>
      <c r="I20" s="22">
        <f t="shared" si="10"/>
        <v>-1</v>
      </c>
      <c r="J20" s="20">
        <f t="shared" si="10"/>
        <v>0</v>
      </c>
      <c r="K20" s="20">
        <f t="shared" si="10"/>
        <v>0.25</v>
      </c>
    </row>
    <row r="21" spans="5:11" x14ac:dyDescent="0.25">
      <c r="E21" s="16">
        <f>E2</f>
        <v>1</v>
      </c>
      <c r="F21" s="16">
        <f t="shared" ref="F21:G21" si="11">F2</f>
        <v>2</v>
      </c>
      <c r="G21" s="16">
        <f t="shared" si="11"/>
        <v>4</v>
      </c>
      <c r="I21" s="21">
        <f t="array" ref="I21:K23">MMULT(E21:G23,I18:K20)</f>
        <v>1</v>
      </c>
      <c r="J21" s="18">
        <v>0</v>
      </c>
      <c r="K21" s="18">
        <v>0</v>
      </c>
    </row>
    <row r="22" spans="5:11" x14ac:dyDescent="0.25">
      <c r="E22" s="16">
        <f t="shared" ref="E22:G22" si="12">E3</f>
        <v>2</v>
      </c>
      <c r="F22" s="16">
        <f t="shared" si="12"/>
        <v>6</v>
      </c>
      <c r="G22" s="16">
        <f t="shared" si="12"/>
        <v>8</v>
      </c>
      <c r="I22" s="23">
        <v>0</v>
      </c>
      <c r="J22" s="24">
        <v>1</v>
      </c>
      <c r="K22" s="24">
        <v>0</v>
      </c>
    </row>
    <row r="23" spans="5:11" x14ac:dyDescent="0.25">
      <c r="E23" s="16">
        <f t="shared" ref="E23:G23" si="13">E4</f>
        <v>4</v>
      </c>
      <c r="F23" s="16">
        <f t="shared" si="13"/>
        <v>8</v>
      </c>
      <c r="G23" s="16">
        <f t="shared" si="13"/>
        <v>20</v>
      </c>
      <c r="I23" s="23">
        <v>0</v>
      </c>
      <c r="J23" s="24">
        <v>0</v>
      </c>
      <c r="K23" s="24">
        <v>1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9584-989B-484B-9DC2-CDC79FF69A2C}">
  <dimension ref="B2:K16"/>
  <sheetViews>
    <sheetView zoomScale="150" zoomScaleNormal="150" workbookViewId="0">
      <selection activeCell="I6" sqref="I6"/>
    </sheetView>
  </sheetViews>
  <sheetFormatPr baseColWidth="10" defaultRowHeight="19" x14ac:dyDescent="0.25"/>
  <cols>
    <col min="1" max="1" width="10.83203125" style="16"/>
    <col min="2" max="2" width="18.83203125" style="16" customWidth="1"/>
    <col min="3" max="3" width="5.83203125" style="16" customWidth="1"/>
    <col min="4" max="4" width="4.83203125" style="16" customWidth="1"/>
    <col min="5" max="11" width="5.83203125" style="16" customWidth="1"/>
    <col min="12" max="16384" width="10.83203125" style="16"/>
  </cols>
  <sheetData>
    <row r="2" spans="2:11" x14ac:dyDescent="0.25">
      <c r="E2" s="16">
        <v>1</v>
      </c>
      <c r="F2" s="16">
        <v>2</v>
      </c>
      <c r="G2" s="16">
        <v>4</v>
      </c>
      <c r="H2" s="32">
        <v>2</v>
      </c>
      <c r="I2" s="77" t="s">
        <v>90</v>
      </c>
      <c r="J2" s="76">
        <v>6</v>
      </c>
      <c r="K2" s="16">
        <f>E2*J2+F2*J3+G2*J4</f>
        <v>2</v>
      </c>
    </row>
    <row r="3" spans="2:11" x14ac:dyDescent="0.25">
      <c r="E3" s="16">
        <v>2</v>
      </c>
      <c r="F3" s="16">
        <v>6</v>
      </c>
      <c r="G3" s="16">
        <v>8</v>
      </c>
      <c r="H3" s="32">
        <v>2</v>
      </c>
      <c r="I3" s="77" t="s">
        <v>91</v>
      </c>
      <c r="J3" s="76">
        <v>-1</v>
      </c>
      <c r="K3" s="16">
        <f>E3*J2+F3*J3+G3*J4</f>
        <v>2</v>
      </c>
    </row>
    <row r="4" spans="2:11" x14ac:dyDescent="0.25">
      <c r="E4" s="16">
        <v>4</v>
      </c>
      <c r="F4" s="16">
        <v>8</v>
      </c>
      <c r="G4" s="16">
        <v>20</v>
      </c>
      <c r="H4" s="32">
        <v>6</v>
      </c>
      <c r="I4" s="77" t="s">
        <v>92</v>
      </c>
      <c r="J4" s="76">
        <v>-0.5</v>
      </c>
      <c r="K4" s="16">
        <f>E4*J2+F4*J3+G4*J4</f>
        <v>6</v>
      </c>
    </row>
    <row r="6" spans="2:11" x14ac:dyDescent="0.25">
      <c r="B6" s="16" t="s">
        <v>93</v>
      </c>
      <c r="E6" s="16">
        <f>E2/$E$2</f>
        <v>1</v>
      </c>
      <c r="F6" s="16">
        <f t="shared" ref="F6:H6" si="0">F2/$E$2</f>
        <v>2</v>
      </c>
      <c r="G6" s="16">
        <f t="shared" si="0"/>
        <v>4</v>
      </c>
      <c r="H6" s="32">
        <f t="shared" si="0"/>
        <v>2</v>
      </c>
    </row>
    <row r="7" spans="2:11" x14ac:dyDescent="0.25">
      <c r="B7" s="16" t="s">
        <v>94</v>
      </c>
      <c r="E7" s="16">
        <f>E3-$E$3/$E$2*E2</f>
        <v>0</v>
      </c>
      <c r="F7" s="16">
        <f t="shared" ref="F7:H7" si="1">F3-$E$3/$E$2*F2</f>
        <v>2</v>
      </c>
      <c r="G7" s="16">
        <f t="shared" si="1"/>
        <v>0</v>
      </c>
      <c r="H7" s="32">
        <f t="shared" si="1"/>
        <v>-2</v>
      </c>
    </row>
    <row r="8" spans="2:11" x14ac:dyDescent="0.25">
      <c r="B8" s="16" t="s">
        <v>95</v>
      </c>
      <c r="E8" s="16">
        <f>E4-$E$4/$E$2*E2</f>
        <v>0</v>
      </c>
      <c r="F8" s="16">
        <f t="shared" ref="F8:H8" si="2">F4-$E$4/$E$2*F2</f>
        <v>0</v>
      </c>
      <c r="G8" s="16">
        <f t="shared" si="2"/>
        <v>4</v>
      </c>
      <c r="H8" s="32">
        <f t="shared" si="2"/>
        <v>-2</v>
      </c>
    </row>
    <row r="10" spans="2:11" x14ac:dyDescent="0.25">
      <c r="E10" s="16">
        <f>E6+$C$10*E7</f>
        <v>1</v>
      </c>
      <c r="F10" s="16">
        <f t="shared" ref="F10:H10" si="3">F6+$C$10*F7</f>
        <v>2</v>
      </c>
      <c r="G10" s="16">
        <f t="shared" si="3"/>
        <v>4</v>
      </c>
      <c r="H10" s="32">
        <f t="shared" si="3"/>
        <v>2</v>
      </c>
    </row>
    <row r="11" spans="2:11" x14ac:dyDescent="0.25">
      <c r="B11" s="16" t="s">
        <v>96</v>
      </c>
      <c r="E11" s="16">
        <f>E7/$F$7</f>
        <v>0</v>
      </c>
      <c r="F11" s="16">
        <f t="shared" ref="F11:H11" si="4">F7/$F$7</f>
        <v>1</v>
      </c>
      <c r="G11" s="16">
        <f t="shared" si="4"/>
        <v>0</v>
      </c>
      <c r="H11" s="32">
        <f t="shared" si="4"/>
        <v>-1</v>
      </c>
    </row>
    <row r="12" spans="2:11" x14ac:dyDescent="0.25">
      <c r="B12" s="16" t="s">
        <v>97</v>
      </c>
      <c r="E12" s="16">
        <f>E8-$F$8/$F$7*E7</f>
        <v>0</v>
      </c>
      <c r="F12" s="16">
        <f t="shared" ref="F12:H12" si="5">F8-$F$8/$F$7*F7</f>
        <v>0</v>
      </c>
      <c r="G12" s="16">
        <f t="shared" si="5"/>
        <v>4</v>
      </c>
      <c r="H12" s="32">
        <f t="shared" si="5"/>
        <v>-2</v>
      </c>
    </row>
    <row r="14" spans="2:11" x14ac:dyDescent="0.25">
      <c r="E14" s="16">
        <f t="shared" ref="E14:H14" si="6">E10+$C$14*E12</f>
        <v>1</v>
      </c>
      <c r="F14" s="16">
        <f t="shared" si="6"/>
        <v>2</v>
      </c>
      <c r="G14" s="16">
        <f t="shared" si="6"/>
        <v>4</v>
      </c>
      <c r="H14" s="32">
        <f t="shared" si="6"/>
        <v>2</v>
      </c>
    </row>
    <row r="15" spans="2:11" x14ac:dyDescent="0.25">
      <c r="E15" s="16">
        <f t="shared" ref="E15:H15" si="7">E11+$C$15*E12</f>
        <v>0</v>
      </c>
      <c r="F15" s="16">
        <f t="shared" si="7"/>
        <v>1</v>
      </c>
      <c r="G15" s="16">
        <f t="shared" si="7"/>
        <v>0</v>
      </c>
      <c r="H15" s="32">
        <f t="shared" si="7"/>
        <v>-1</v>
      </c>
    </row>
    <row r="16" spans="2:11" x14ac:dyDescent="0.25">
      <c r="B16" s="16" t="s">
        <v>98</v>
      </c>
      <c r="E16" s="16">
        <f>E12/$G$12</f>
        <v>0</v>
      </c>
      <c r="F16" s="16">
        <f t="shared" ref="F16:H16" si="8">F12/$G$12</f>
        <v>0</v>
      </c>
      <c r="G16" s="16">
        <f t="shared" si="8"/>
        <v>1</v>
      </c>
      <c r="H16" s="32">
        <f t="shared" si="8"/>
        <v>-0.5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9F44-5968-3E47-9412-BC26B230E382}">
  <dimension ref="B2:K39"/>
  <sheetViews>
    <sheetView zoomScale="170" zoomScaleNormal="170" workbookViewId="0">
      <selection activeCell="H28" sqref="H28"/>
    </sheetView>
  </sheetViews>
  <sheetFormatPr baseColWidth="10" defaultRowHeight="16" x14ac:dyDescent="0.2"/>
  <cols>
    <col min="2" max="2" width="21.5" bestFit="1" customWidth="1"/>
    <col min="3" max="11" width="6.83203125" customWidth="1"/>
  </cols>
  <sheetData>
    <row r="2" spans="2:11" x14ac:dyDescent="0.2">
      <c r="C2" s="31">
        <v>1</v>
      </c>
      <c r="D2">
        <v>1</v>
      </c>
      <c r="E2">
        <v>2</v>
      </c>
      <c r="F2">
        <v>-1</v>
      </c>
      <c r="G2" s="33">
        <v>6</v>
      </c>
      <c r="H2">
        <v>1</v>
      </c>
      <c r="I2">
        <v>0</v>
      </c>
      <c r="J2">
        <v>0</v>
      </c>
      <c r="K2">
        <v>0</v>
      </c>
    </row>
    <row r="3" spans="2:11" x14ac:dyDescent="0.2">
      <c r="C3" s="11">
        <v>-2</v>
      </c>
      <c r="D3">
        <v>2</v>
      </c>
      <c r="E3">
        <v>-2</v>
      </c>
      <c r="F3">
        <v>2</v>
      </c>
      <c r="G3" s="33">
        <v>2</v>
      </c>
      <c r="H3">
        <v>0</v>
      </c>
      <c r="I3">
        <v>1</v>
      </c>
      <c r="J3">
        <v>0</v>
      </c>
      <c r="K3">
        <v>0</v>
      </c>
    </row>
    <row r="4" spans="2:11" x14ac:dyDescent="0.2">
      <c r="C4" s="11">
        <v>-1</v>
      </c>
      <c r="D4">
        <v>2</v>
      </c>
      <c r="E4">
        <v>4</v>
      </c>
      <c r="F4">
        <v>1</v>
      </c>
      <c r="G4" s="33">
        <v>-2</v>
      </c>
      <c r="H4">
        <v>0</v>
      </c>
      <c r="I4">
        <v>0</v>
      </c>
      <c r="J4">
        <v>1</v>
      </c>
      <c r="K4">
        <v>0</v>
      </c>
    </row>
    <row r="5" spans="2:11" x14ac:dyDescent="0.2">
      <c r="C5" s="11">
        <v>1</v>
      </c>
      <c r="D5">
        <v>2</v>
      </c>
      <c r="E5">
        <v>2</v>
      </c>
      <c r="F5">
        <v>1</v>
      </c>
      <c r="G5" s="33">
        <v>4</v>
      </c>
      <c r="H5">
        <v>0</v>
      </c>
      <c r="I5">
        <v>0</v>
      </c>
      <c r="J5">
        <v>0</v>
      </c>
      <c r="K5">
        <v>1</v>
      </c>
    </row>
    <row r="7" spans="2:11" ht="18" x14ac:dyDescent="0.25">
      <c r="B7" t="s">
        <v>67</v>
      </c>
      <c r="C7">
        <f>C2/$C$2</f>
        <v>1</v>
      </c>
      <c r="D7" s="11">
        <f t="shared" ref="D7:K7" si="0">D2/$C$2</f>
        <v>1</v>
      </c>
      <c r="E7">
        <f t="shared" si="0"/>
        <v>2</v>
      </c>
      <c r="F7">
        <f t="shared" si="0"/>
        <v>-1</v>
      </c>
      <c r="G7" s="33">
        <f t="shared" si="0"/>
        <v>6</v>
      </c>
      <c r="H7">
        <f t="shared" si="0"/>
        <v>1</v>
      </c>
      <c r="I7">
        <f t="shared" si="0"/>
        <v>0</v>
      </c>
      <c r="J7">
        <f t="shared" si="0"/>
        <v>0</v>
      </c>
      <c r="K7">
        <f t="shared" si="0"/>
        <v>0</v>
      </c>
    </row>
    <row r="8" spans="2:11" ht="18" x14ac:dyDescent="0.25">
      <c r="B8" t="s">
        <v>68</v>
      </c>
      <c r="C8">
        <f>C3-$C$3/$C$2*C2</f>
        <v>0</v>
      </c>
      <c r="D8" s="31">
        <f t="shared" ref="D8:K8" si="1">D3-$C$3/$C$2*D2</f>
        <v>4</v>
      </c>
      <c r="E8">
        <f t="shared" si="1"/>
        <v>2</v>
      </c>
      <c r="F8">
        <f t="shared" si="1"/>
        <v>0</v>
      </c>
      <c r="G8" s="33">
        <f t="shared" si="1"/>
        <v>14</v>
      </c>
      <c r="H8">
        <f t="shared" si="1"/>
        <v>2</v>
      </c>
      <c r="I8">
        <f t="shared" si="1"/>
        <v>1</v>
      </c>
      <c r="J8">
        <f t="shared" si="1"/>
        <v>0</v>
      </c>
      <c r="K8">
        <f t="shared" si="1"/>
        <v>0</v>
      </c>
    </row>
    <row r="9" spans="2:11" ht="18" x14ac:dyDescent="0.25">
      <c r="B9" t="s">
        <v>69</v>
      </c>
      <c r="C9">
        <f>C4-$C$4/$C$2*C2</f>
        <v>0</v>
      </c>
      <c r="D9" s="11">
        <f t="shared" ref="D9:K9" si="2">D4-$C$4/$C$2*D2</f>
        <v>3</v>
      </c>
      <c r="E9">
        <f t="shared" si="2"/>
        <v>6</v>
      </c>
      <c r="F9">
        <f t="shared" si="2"/>
        <v>0</v>
      </c>
      <c r="G9" s="33">
        <f t="shared" si="2"/>
        <v>4</v>
      </c>
      <c r="H9">
        <f t="shared" si="2"/>
        <v>1</v>
      </c>
      <c r="I9">
        <f t="shared" si="2"/>
        <v>0</v>
      </c>
      <c r="J9">
        <f t="shared" si="2"/>
        <v>1</v>
      </c>
      <c r="K9">
        <f t="shared" si="2"/>
        <v>0</v>
      </c>
    </row>
    <row r="10" spans="2:11" ht="18" x14ac:dyDescent="0.25">
      <c r="B10" t="s">
        <v>74</v>
      </c>
      <c r="C10">
        <f>C5-$C$5/$C$2*C2</f>
        <v>0</v>
      </c>
      <c r="D10" s="11">
        <f t="shared" ref="D10:K10" si="3">D5-$C$5/$C$2*D2</f>
        <v>1</v>
      </c>
      <c r="E10">
        <f t="shared" si="3"/>
        <v>0</v>
      </c>
      <c r="F10">
        <f t="shared" si="3"/>
        <v>2</v>
      </c>
      <c r="G10" s="33">
        <f t="shared" si="3"/>
        <v>-2</v>
      </c>
      <c r="H10">
        <f t="shared" si="3"/>
        <v>-1</v>
      </c>
      <c r="I10">
        <f t="shared" si="3"/>
        <v>0</v>
      </c>
      <c r="J10">
        <f t="shared" si="3"/>
        <v>0</v>
      </c>
      <c r="K10">
        <f t="shared" si="3"/>
        <v>1</v>
      </c>
    </row>
    <row r="12" spans="2:11" ht="18" x14ac:dyDescent="0.25">
      <c r="B12" t="s">
        <v>70</v>
      </c>
      <c r="C12">
        <f>C7-$D$7/$D$8*C8</f>
        <v>1</v>
      </c>
      <c r="D12">
        <f>D7-$D$7/$D$8*D8</f>
        <v>0</v>
      </c>
      <c r="E12" s="34">
        <f t="shared" ref="E12:K12" si="4">E7-$D$7/$D$8*E8</f>
        <v>1.5</v>
      </c>
      <c r="F12" s="35">
        <f t="shared" si="4"/>
        <v>-1</v>
      </c>
      <c r="G12" s="33">
        <f t="shared" si="4"/>
        <v>2.5</v>
      </c>
      <c r="H12" s="37">
        <f t="shared" si="4"/>
        <v>0.5</v>
      </c>
      <c r="I12" s="37">
        <f t="shared" si="4"/>
        <v>-0.25</v>
      </c>
      <c r="J12">
        <f t="shared" si="4"/>
        <v>0</v>
      </c>
      <c r="K12">
        <f t="shared" si="4"/>
        <v>0</v>
      </c>
    </row>
    <row r="13" spans="2:11" ht="18" x14ac:dyDescent="0.25">
      <c r="B13" t="s">
        <v>71</v>
      </c>
      <c r="C13">
        <f>C8/$D$8</f>
        <v>0</v>
      </c>
      <c r="D13">
        <f>D8/$D$8</f>
        <v>1</v>
      </c>
      <c r="E13" s="34">
        <f t="shared" ref="E13:K13" si="5">E8/$D$8</f>
        <v>0.5</v>
      </c>
      <c r="F13" s="35">
        <f t="shared" si="5"/>
        <v>0</v>
      </c>
      <c r="G13" s="33">
        <f t="shared" si="5"/>
        <v>3.5</v>
      </c>
      <c r="H13" s="37">
        <f t="shared" si="5"/>
        <v>0.5</v>
      </c>
      <c r="I13" s="37">
        <f t="shared" si="5"/>
        <v>0.25</v>
      </c>
      <c r="J13">
        <f t="shared" si="5"/>
        <v>0</v>
      </c>
      <c r="K13">
        <f t="shared" si="5"/>
        <v>0</v>
      </c>
    </row>
    <row r="14" spans="2:11" ht="18" x14ac:dyDescent="0.25">
      <c r="B14" t="s">
        <v>72</v>
      </c>
      <c r="C14">
        <f>C9-$D$9/$D$8*C8</f>
        <v>0</v>
      </c>
      <c r="D14">
        <f>D9-$D$9/$D$8*D8</f>
        <v>0</v>
      </c>
      <c r="E14" s="36">
        <f t="shared" ref="E14:K14" si="6">E9-$D$9/$D$8*E8</f>
        <v>4.5</v>
      </c>
      <c r="F14" s="35">
        <f t="shared" si="6"/>
        <v>0</v>
      </c>
      <c r="G14" s="33">
        <f t="shared" si="6"/>
        <v>-6.5</v>
      </c>
      <c r="H14" s="37">
        <f t="shared" si="6"/>
        <v>-0.5</v>
      </c>
      <c r="I14" s="37">
        <f t="shared" si="6"/>
        <v>-0.75</v>
      </c>
      <c r="J14">
        <f t="shared" si="6"/>
        <v>1</v>
      </c>
      <c r="K14">
        <f t="shared" si="6"/>
        <v>0</v>
      </c>
    </row>
    <row r="15" spans="2:11" ht="18" x14ac:dyDescent="0.25">
      <c r="B15" t="s">
        <v>75</v>
      </c>
      <c r="C15">
        <f>C10-$D$10/$D$8*C8</f>
        <v>0</v>
      </c>
      <c r="D15">
        <f>D10-$D$10/$D$8*D8</f>
        <v>0</v>
      </c>
      <c r="E15" s="34">
        <f t="shared" ref="E15:K15" si="7">E10-$D$10/$D$8*E8</f>
        <v>-0.5</v>
      </c>
      <c r="F15" s="35">
        <f t="shared" si="7"/>
        <v>2</v>
      </c>
      <c r="G15" s="33">
        <f t="shared" si="7"/>
        <v>-5.5</v>
      </c>
      <c r="H15" s="37">
        <f t="shared" si="7"/>
        <v>-1.5</v>
      </c>
      <c r="I15" s="37">
        <f t="shared" si="7"/>
        <v>-0.25</v>
      </c>
      <c r="J15">
        <f t="shared" si="7"/>
        <v>0</v>
      </c>
      <c r="K15">
        <f t="shared" si="7"/>
        <v>1</v>
      </c>
    </row>
    <row r="17" spans="2:11" ht="18" x14ac:dyDescent="0.25">
      <c r="B17" t="s">
        <v>59</v>
      </c>
      <c r="C17">
        <f t="shared" ref="C17:D17" si="8">C12-$E$12/$E$14*C14</f>
        <v>1</v>
      </c>
      <c r="D17">
        <f t="shared" si="8"/>
        <v>0</v>
      </c>
      <c r="E17">
        <f>E12-$E$12/$E$14*E14</f>
        <v>0</v>
      </c>
      <c r="F17" s="40">
        <f t="shared" ref="F17:K17" si="9">F12-$E$12/$E$14*F14</f>
        <v>-1</v>
      </c>
      <c r="G17" s="39">
        <f t="shared" si="9"/>
        <v>4.6666666666666661</v>
      </c>
      <c r="H17" s="37">
        <f t="shared" si="9"/>
        <v>0.66666666666666663</v>
      </c>
      <c r="I17" s="37">
        <f t="shared" si="9"/>
        <v>0</v>
      </c>
      <c r="J17" s="37">
        <f t="shared" si="9"/>
        <v>-0.33333333333333331</v>
      </c>
      <c r="K17">
        <f t="shared" si="9"/>
        <v>0</v>
      </c>
    </row>
    <row r="18" spans="2:11" ht="18" x14ac:dyDescent="0.25">
      <c r="B18" t="s">
        <v>60</v>
      </c>
      <c r="C18">
        <f t="shared" ref="C18:D18" si="10">C13-$E$13/$E$14*C14</f>
        <v>0</v>
      </c>
      <c r="D18">
        <f t="shared" si="10"/>
        <v>1</v>
      </c>
      <c r="E18">
        <f>E13-$E$13/$E$14*E14</f>
        <v>0</v>
      </c>
      <c r="F18" s="40">
        <f t="shared" ref="F18:K18" si="11">F13-$E$13/$E$14*F14</f>
        <v>0</v>
      </c>
      <c r="G18" s="39">
        <f t="shared" si="11"/>
        <v>4.2222222222222223</v>
      </c>
      <c r="H18" s="37">
        <f t="shared" si="11"/>
        <v>0.55555555555555558</v>
      </c>
      <c r="I18" s="37">
        <f t="shared" si="11"/>
        <v>0.33333333333333331</v>
      </c>
      <c r="J18" s="37">
        <f t="shared" si="11"/>
        <v>-0.1111111111111111</v>
      </c>
      <c r="K18">
        <f t="shared" si="11"/>
        <v>0</v>
      </c>
    </row>
    <row r="19" spans="2:11" ht="18" x14ac:dyDescent="0.25">
      <c r="B19" t="s">
        <v>61</v>
      </c>
      <c r="C19">
        <f t="shared" ref="C19:D19" si="12">C14/$E$14</f>
        <v>0</v>
      </c>
      <c r="D19">
        <f t="shared" si="12"/>
        <v>0</v>
      </c>
      <c r="E19">
        <f>E14/$E$14</f>
        <v>1</v>
      </c>
      <c r="F19" s="40">
        <f t="shared" ref="F19:K19" si="13">F14/$E$14</f>
        <v>0</v>
      </c>
      <c r="G19" s="39">
        <f t="shared" si="13"/>
        <v>-1.4444444444444444</v>
      </c>
      <c r="H19" s="37">
        <f t="shared" si="13"/>
        <v>-0.1111111111111111</v>
      </c>
      <c r="I19" s="37">
        <f t="shared" si="13"/>
        <v>-0.16666666666666666</v>
      </c>
      <c r="J19" s="37">
        <f t="shared" si="13"/>
        <v>0.22222222222222221</v>
      </c>
      <c r="K19">
        <f t="shared" si="13"/>
        <v>0</v>
      </c>
    </row>
    <row r="20" spans="2:11" ht="18" x14ac:dyDescent="0.25">
      <c r="B20" t="s">
        <v>62</v>
      </c>
      <c r="C20">
        <f t="shared" ref="C20:D20" si="14">C15-$E$15/$E$14*C14</f>
        <v>0</v>
      </c>
      <c r="D20">
        <f t="shared" si="14"/>
        <v>0</v>
      </c>
      <c r="E20">
        <f>E15-$E$15/$E$14*E14</f>
        <v>0</v>
      </c>
      <c r="F20" s="38">
        <f t="shared" ref="F20:K20" si="15">F15-$E$15/$E$14*F14</f>
        <v>2</v>
      </c>
      <c r="G20" s="39">
        <f t="shared" si="15"/>
        <v>-6.2222222222222223</v>
      </c>
      <c r="H20" s="37">
        <f t="shared" si="15"/>
        <v>-1.5555555555555556</v>
      </c>
      <c r="I20" s="37">
        <f t="shared" si="15"/>
        <v>-0.33333333333333331</v>
      </c>
      <c r="J20" s="37">
        <f t="shared" si="15"/>
        <v>0.1111111111111111</v>
      </c>
      <c r="K20">
        <f t="shared" si="15"/>
        <v>1</v>
      </c>
    </row>
    <row r="22" spans="2:11" ht="18" x14ac:dyDescent="0.25">
      <c r="B22" t="s">
        <v>63</v>
      </c>
      <c r="C22">
        <f t="shared" ref="C22:E22" si="16">C17-$F$17/$F$20*C20</f>
        <v>1</v>
      </c>
      <c r="D22">
        <f t="shared" si="16"/>
        <v>0</v>
      </c>
      <c r="E22">
        <f t="shared" si="16"/>
        <v>0</v>
      </c>
      <c r="F22">
        <f>F17-$F$17/$F$20*F20</f>
        <v>0</v>
      </c>
      <c r="G22" s="33">
        <f t="shared" ref="G22:K22" si="17">G17-$F$17/$F$20*G20</f>
        <v>1.5555555555555549</v>
      </c>
      <c r="H22" s="37">
        <f t="shared" si="17"/>
        <v>-0.11111111111111116</v>
      </c>
      <c r="I22" s="37">
        <f t="shared" si="17"/>
        <v>-0.16666666666666666</v>
      </c>
      <c r="J22" s="37">
        <f t="shared" si="17"/>
        <v>-0.27777777777777779</v>
      </c>
      <c r="K22" s="37">
        <f t="shared" si="17"/>
        <v>0.5</v>
      </c>
    </row>
    <row r="23" spans="2:11" ht="18" x14ac:dyDescent="0.25">
      <c r="B23" t="s">
        <v>64</v>
      </c>
      <c r="C23">
        <f t="shared" ref="C23:E23" si="18">C18-$F$18/$F$20*C20</f>
        <v>0</v>
      </c>
      <c r="D23">
        <f t="shared" si="18"/>
        <v>1</v>
      </c>
      <c r="E23">
        <f t="shared" si="18"/>
        <v>0</v>
      </c>
      <c r="F23">
        <f>F18-$F$18/$F$20*F20</f>
        <v>0</v>
      </c>
      <c r="G23" s="33">
        <f t="shared" ref="G23:K23" si="19">G18-$F$18/$F$20*G20</f>
        <v>4.2222222222222223</v>
      </c>
      <c r="H23" s="37">
        <f t="shared" si="19"/>
        <v>0.55555555555555558</v>
      </c>
      <c r="I23" s="37">
        <f t="shared" si="19"/>
        <v>0.33333333333333331</v>
      </c>
      <c r="J23" s="37">
        <f t="shared" si="19"/>
        <v>-0.1111111111111111</v>
      </c>
      <c r="K23" s="37">
        <f t="shared" si="19"/>
        <v>0</v>
      </c>
    </row>
    <row r="24" spans="2:11" ht="18" x14ac:dyDescent="0.25">
      <c r="B24" t="s">
        <v>65</v>
      </c>
      <c r="C24">
        <f t="shared" ref="C24:E24" si="20">C19-$F$19/$F$20*C20</f>
        <v>0</v>
      </c>
      <c r="D24">
        <f t="shared" si="20"/>
        <v>0</v>
      </c>
      <c r="E24">
        <f t="shared" si="20"/>
        <v>1</v>
      </c>
      <c r="F24">
        <f>F19-$F$19/$F$20*F20</f>
        <v>0</v>
      </c>
      <c r="G24" s="33">
        <f t="shared" ref="G24:K24" si="21">G19-$F$19/$F$20*G20</f>
        <v>-1.4444444444444444</v>
      </c>
      <c r="H24" s="37">
        <f t="shared" si="21"/>
        <v>-0.1111111111111111</v>
      </c>
      <c r="I24" s="37">
        <f t="shared" si="21"/>
        <v>-0.16666666666666666</v>
      </c>
      <c r="J24" s="37">
        <f t="shared" si="21"/>
        <v>0.22222222222222221</v>
      </c>
      <c r="K24" s="37">
        <f t="shared" si="21"/>
        <v>0</v>
      </c>
    </row>
    <row r="25" spans="2:11" ht="18" x14ac:dyDescent="0.25">
      <c r="B25" t="s">
        <v>66</v>
      </c>
      <c r="C25">
        <f t="shared" ref="C25:E25" si="22">C20/$F$20</f>
        <v>0</v>
      </c>
      <c r="D25">
        <f t="shared" si="22"/>
        <v>0</v>
      </c>
      <c r="E25">
        <f t="shared" si="22"/>
        <v>0</v>
      </c>
      <c r="F25">
        <f>F20/$F$20</f>
        <v>1</v>
      </c>
      <c r="G25" s="33">
        <f t="shared" ref="G25:K25" si="23">G20/$F$20</f>
        <v>-3.1111111111111112</v>
      </c>
      <c r="H25" s="37">
        <f t="shared" si="23"/>
        <v>-0.77777777777777779</v>
      </c>
      <c r="I25" s="37">
        <f t="shared" si="23"/>
        <v>-0.16666666666666666</v>
      </c>
      <c r="J25" s="37">
        <f t="shared" si="23"/>
        <v>5.5555555555555552E-2</v>
      </c>
      <c r="K25" s="37">
        <f t="shared" si="23"/>
        <v>0.5</v>
      </c>
    </row>
    <row r="27" spans="2:11" x14ac:dyDescent="0.2">
      <c r="H27" s="43">
        <f>H22</f>
        <v>-0.11111111111111116</v>
      </c>
      <c r="I27" s="37">
        <f t="shared" ref="I27:K27" si="24">I22</f>
        <v>-0.16666666666666666</v>
      </c>
      <c r="J27" s="37">
        <f t="shared" si="24"/>
        <v>-0.27777777777777779</v>
      </c>
      <c r="K27" s="37">
        <f t="shared" si="24"/>
        <v>0.5</v>
      </c>
    </row>
    <row r="28" spans="2:11" x14ac:dyDescent="0.2">
      <c r="H28" s="43">
        <f t="shared" ref="H28:K30" si="25">H23</f>
        <v>0.55555555555555558</v>
      </c>
      <c r="I28" s="37">
        <f t="shared" si="25"/>
        <v>0.33333333333333331</v>
      </c>
      <c r="J28" s="37">
        <f t="shared" si="25"/>
        <v>-0.1111111111111111</v>
      </c>
      <c r="K28" s="37">
        <f t="shared" si="25"/>
        <v>0</v>
      </c>
    </row>
    <row r="29" spans="2:11" x14ac:dyDescent="0.2">
      <c r="H29" s="43">
        <f t="shared" si="25"/>
        <v>-0.1111111111111111</v>
      </c>
      <c r="I29" s="37">
        <f t="shared" si="25"/>
        <v>-0.16666666666666666</v>
      </c>
      <c r="J29" s="37">
        <f t="shared" si="25"/>
        <v>0.22222222222222221</v>
      </c>
      <c r="K29" s="37">
        <f t="shared" si="25"/>
        <v>0</v>
      </c>
    </row>
    <row r="30" spans="2:11" x14ac:dyDescent="0.2">
      <c r="D30" s="2"/>
      <c r="E30" s="2"/>
      <c r="F30" s="2"/>
      <c r="G30" s="2"/>
      <c r="H30" s="44">
        <f t="shared" si="25"/>
        <v>-0.77777777777777779</v>
      </c>
      <c r="I30" s="42">
        <f t="shared" si="25"/>
        <v>-0.16666666666666666</v>
      </c>
      <c r="J30" s="42">
        <f t="shared" si="25"/>
        <v>5.5555555555555552E-2</v>
      </c>
      <c r="K30" s="42">
        <f t="shared" si="25"/>
        <v>0.5</v>
      </c>
    </row>
    <row r="31" spans="2:11" x14ac:dyDescent="0.2">
      <c r="D31">
        <f>C2</f>
        <v>1</v>
      </c>
      <c r="E31">
        <f t="shared" ref="E31:G31" si="26">D2</f>
        <v>1</v>
      </c>
      <c r="F31">
        <f t="shared" si="26"/>
        <v>2</v>
      </c>
      <c r="G31">
        <f t="shared" si="26"/>
        <v>-1</v>
      </c>
      <c r="H31" s="45">
        <f>D31*H27+E31*H28+F31*H29+G31*H30</f>
        <v>1</v>
      </c>
      <c r="I31" s="41">
        <f>D31*I27+E31*I28+F31*I29+G31*I30</f>
        <v>0</v>
      </c>
      <c r="J31" s="41">
        <f>D31*J27+E31*J28+F31*J29+G31*J30</f>
        <v>0</v>
      </c>
      <c r="K31" s="41">
        <f>D31*K27+E31*K28+F31*K29+G31*K30</f>
        <v>0</v>
      </c>
    </row>
    <row r="32" spans="2:11" x14ac:dyDescent="0.2">
      <c r="D32">
        <f t="shared" ref="D32:G32" si="27">C3</f>
        <v>-2</v>
      </c>
      <c r="E32">
        <f t="shared" si="27"/>
        <v>2</v>
      </c>
      <c r="F32">
        <f t="shared" si="27"/>
        <v>-2</v>
      </c>
      <c r="G32">
        <f t="shared" si="27"/>
        <v>2</v>
      </c>
      <c r="H32" s="45">
        <f>D32*H27+E32*H28+F32*H29+G32*H30</f>
        <v>0</v>
      </c>
      <c r="I32" s="41">
        <f>D32*I27+E32*I28+F32*I29+G32*I30</f>
        <v>1</v>
      </c>
      <c r="J32" s="41">
        <f>D32*J27+E32*J28+F32*J29+G32*J30</f>
        <v>0</v>
      </c>
      <c r="K32" s="41">
        <f>D32*K27+E32*K28+F32*K29+G32*K30</f>
        <v>0</v>
      </c>
    </row>
    <row r="33" spans="4:11" x14ac:dyDescent="0.2">
      <c r="D33">
        <f t="shared" ref="D33:G33" si="28">C4</f>
        <v>-1</v>
      </c>
      <c r="E33">
        <f t="shared" si="28"/>
        <v>2</v>
      </c>
      <c r="F33">
        <f t="shared" si="28"/>
        <v>4</v>
      </c>
      <c r="G33">
        <f t="shared" si="28"/>
        <v>1</v>
      </c>
      <c r="H33" s="45">
        <f>D33*H27+E33*H28+F33*H29+G33*H30</f>
        <v>0</v>
      </c>
      <c r="I33">
        <f>D33*I27+E33*I28+F33*I29+G33*I30</f>
        <v>0</v>
      </c>
      <c r="J33">
        <f>D33*J27+E33*J28+F33*J29+G33*J30</f>
        <v>1</v>
      </c>
      <c r="K33">
        <f>D33*K27+E33*K28+F33*K29+G33*K30</f>
        <v>0</v>
      </c>
    </row>
    <row r="34" spans="4:11" x14ac:dyDescent="0.2">
      <c r="D34">
        <f t="shared" ref="D34:G34" si="29">C5</f>
        <v>1</v>
      </c>
      <c r="E34">
        <f t="shared" si="29"/>
        <v>2</v>
      </c>
      <c r="F34">
        <f t="shared" si="29"/>
        <v>2</v>
      </c>
      <c r="G34">
        <f t="shared" si="29"/>
        <v>1</v>
      </c>
      <c r="H34" s="45">
        <f>D34*H27+E34*H28+F34*H29+G34*H30</f>
        <v>0</v>
      </c>
      <c r="I34">
        <f>D34*I27+E34*I28+F34*I29+G34*I30</f>
        <v>0</v>
      </c>
      <c r="J34">
        <f>D34*J27+E34*J28+F34*J29+G34*J30</f>
        <v>0</v>
      </c>
      <c r="K34">
        <f>D34*K27+E34*K28+F34*K29+G34*K30</f>
        <v>1</v>
      </c>
    </row>
    <row r="36" spans="4:11" x14ac:dyDescent="0.2">
      <c r="F36">
        <f>C2*$G$22+D2*$G$23+E2*$G$24+F2*$G$25</f>
        <v>5.9999999999999991</v>
      </c>
      <c r="G36" s="46">
        <f>G2</f>
        <v>6</v>
      </c>
    </row>
    <row r="37" spans="4:11" x14ac:dyDescent="0.2">
      <c r="F37">
        <f t="shared" ref="F37:F39" si="30">C3*$G$22+D3*$G$23+E3*$G$24+F3*$G$25</f>
        <v>2.0000000000000009</v>
      </c>
      <c r="G37" s="46">
        <f t="shared" ref="G37:G39" si="31">G3</f>
        <v>2</v>
      </c>
    </row>
    <row r="38" spans="4:11" x14ac:dyDescent="0.2">
      <c r="F38">
        <f t="shared" si="30"/>
        <v>-1.9999999999999996</v>
      </c>
      <c r="G38" s="46">
        <f t="shared" si="31"/>
        <v>-2</v>
      </c>
    </row>
    <row r="39" spans="4:11" x14ac:dyDescent="0.2">
      <c r="F39">
        <f t="shared" si="30"/>
        <v>3.9999999999999996</v>
      </c>
      <c r="G39" s="46">
        <f t="shared" si="31"/>
        <v>4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D595-65C7-644C-9121-F144AC93BB76}">
  <dimension ref="B2:K25"/>
  <sheetViews>
    <sheetView zoomScale="170" zoomScaleNormal="170" workbookViewId="0">
      <selection activeCell="I23" sqref="I23"/>
    </sheetView>
  </sheetViews>
  <sheetFormatPr baseColWidth="10" defaultRowHeight="16" x14ac:dyDescent="0.2"/>
  <cols>
    <col min="2" max="2" width="21.5" bestFit="1" customWidth="1"/>
    <col min="3" max="11" width="6.83203125" customWidth="1"/>
  </cols>
  <sheetData>
    <row r="2" spans="2:11" x14ac:dyDescent="0.2">
      <c r="C2" s="31">
        <v>1</v>
      </c>
      <c r="D2">
        <v>2</v>
      </c>
      <c r="E2">
        <v>-3</v>
      </c>
      <c r="F2">
        <v>-1</v>
      </c>
      <c r="G2" s="33">
        <v>6</v>
      </c>
      <c r="H2">
        <v>1</v>
      </c>
      <c r="I2">
        <v>0</v>
      </c>
      <c r="J2">
        <v>0</v>
      </c>
      <c r="K2">
        <v>0</v>
      </c>
    </row>
    <row r="3" spans="2:11" x14ac:dyDescent="0.2">
      <c r="C3" s="11">
        <v>-4</v>
      </c>
      <c r="D3">
        <v>1</v>
      </c>
      <c r="E3">
        <v>-1</v>
      </c>
      <c r="F3">
        <v>2</v>
      </c>
      <c r="G3" s="33">
        <v>3</v>
      </c>
      <c r="H3">
        <v>0</v>
      </c>
      <c r="I3">
        <v>1</v>
      </c>
      <c r="J3">
        <v>0</v>
      </c>
      <c r="K3">
        <v>0</v>
      </c>
    </row>
    <row r="4" spans="2:11" x14ac:dyDescent="0.2">
      <c r="C4" s="11">
        <v>-1</v>
      </c>
      <c r="D4">
        <v>3</v>
      </c>
      <c r="E4">
        <v>4</v>
      </c>
      <c r="F4">
        <v>1</v>
      </c>
      <c r="G4" s="33">
        <v>-3</v>
      </c>
      <c r="H4">
        <v>0</v>
      </c>
      <c r="I4">
        <v>0</v>
      </c>
      <c r="J4">
        <v>1</v>
      </c>
      <c r="K4">
        <v>0</v>
      </c>
    </row>
    <row r="5" spans="2:11" x14ac:dyDescent="0.2">
      <c r="C5" s="11">
        <v>1</v>
      </c>
      <c r="D5">
        <v>1</v>
      </c>
      <c r="E5">
        <v>1</v>
      </c>
      <c r="F5">
        <v>1</v>
      </c>
      <c r="G5" s="33">
        <v>5</v>
      </c>
      <c r="H5">
        <v>0</v>
      </c>
      <c r="I5">
        <v>0</v>
      </c>
      <c r="J5">
        <v>0</v>
      </c>
      <c r="K5">
        <v>1</v>
      </c>
    </row>
    <row r="7" spans="2:11" ht="18" x14ac:dyDescent="0.25">
      <c r="B7" t="s">
        <v>67</v>
      </c>
      <c r="C7">
        <f>C2/$C$2</f>
        <v>1</v>
      </c>
      <c r="D7" s="11">
        <f t="shared" ref="D7:K7" si="0">D2/$C$2</f>
        <v>2</v>
      </c>
      <c r="E7">
        <f t="shared" si="0"/>
        <v>-3</v>
      </c>
      <c r="F7">
        <f t="shared" si="0"/>
        <v>-1</v>
      </c>
      <c r="G7" s="33">
        <f t="shared" si="0"/>
        <v>6</v>
      </c>
      <c r="H7">
        <f t="shared" si="0"/>
        <v>1</v>
      </c>
      <c r="I7">
        <f t="shared" si="0"/>
        <v>0</v>
      </c>
      <c r="J7">
        <f t="shared" si="0"/>
        <v>0</v>
      </c>
      <c r="K7">
        <f t="shared" si="0"/>
        <v>0</v>
      </c>
    </row>
    <row r="8" spans="2:11" ht="18" x14ac:dyDescent="0.25">
      <c r="B8" t="s">
        <v>68</v>
      </c>
      <c r="C8">
        <f>C3-$C$3/$C$2*C2</f>
        <v>0</v>
      </c>
      <c r="D8" s="31">
        <f t="shared" ref="D8:K8" si="1">D3-$C$3/$C$2*D2</f>
        <v>9</v>
      </c>
      <c r="E8">
        <f t="shared" si="1"/>
        <v>-13</v>
      </c>
      <c r="F8">
        <f t="shared" si="1"/>
        <v>-2</v>
      </c>
      <c r="G8" s="33">
        <f t="shared" si="1"/>
        <v>27</v>
      </c>
      <c r="H8">
        <f t="shared" si="1"/>
        <v>4</v>
      </c>
      <c r="I8">
        <f t="shared" si="1"/>
        <v>1</v>
      </c>
      <c r="J8">
        <f t="shared" si="1"/>
        <v>0</v>
      </c>
      <c r="K8">
        <f t="shared" si="1"/>
        <v>0</v>
      </c>
    </row>
    <row r="9" spans="2:11" ht="18" x14ac:dyDescent="0.25">
      <c r="B9" t="s">
        <v>69</v>
      </c>
      <c r="C9">
        <f>C4-$C$4/$C$2*C2</f>
        <v>0</v>
      </c>
      <c r="D9" s="11">
        <f t="shared" ref="D9:K9" si="2">D4-$C$4/$C$2*D2</f>
        <v>5</v>
      </c>
      <c r="E9">
        <f t="shared" si="2"/>
        <v>1</v>
      </c>
      <c r="F9">
        <f t="shared" si="2"/>
        <v>0</v>
      </c>
      <c r="G9" s="33">
        <f t="shared" si="2"/>
        <v>3</v>
      </c>
      <c r="H9">
        <f t="shared" si="2"/>
        <v>1</v>
      </c>
      <c r="I9">
        <f t="shared" si="2"/>
        <v>0</v>
      </c>
      <c r="J9">
        <f t="shared" si="2"/>
        <v>1</v>
      </c>
      <c r="K9">
        <f t="shared" si="2"/>
        <v>0</v>
      </c>
    </row>
    <row r="10" spans="2:11" ht="18" x14ac:dyDescent="0.25">
      <c r="B10" t="s">
        <v>74</v>
      </c>
      <c r="C10">
        <f>C5-$C$5/$C$2*C2</f>
        <v>0</v>
      </c>
      <c r="D10" s="11">
        <f t="shared" ref="D10:K10" si="3">D5-$C$5/$C$2*D2</f>
        <v>-1</v>
      </c>
      <c r="E10">
        <f t="shared" si="3"/>
        <v>4</v>
      </c>
      <c r="F10">
        <f t="shared" si="3"/>
        <v>2</v>
      </c>
      <c r="G10" s="33">
        <f t="shared" si="3"/>
        <v>-1</v>
      </c>
      <c r="H10">
        <f t="shared" si="3"/>
        <v>-1</v>
      </c>
      <c r="I10">
        <f t="shared" si="3"/>
        <v>0</v>
      </c>
      <c r="J10">
        <f t="shared" si="3"/>
        <v>0</v>
      </c>
      <c r="K10">
        <f t="shared" si="3"/>
        <v>1</v>
      </c>
    </row>
    <row r="12" spans="2:11" ht="18" x14ac:dyDescent="0.25">
      <c r="B12" t="s">
        <v>70</v>
      </c>
      <c r="C12">
        <f>C7-$D$7/$D$8*C8</f>
        <v>1</v>
      </c>
      <c r="D12">
        <f>D7-$D$7/$D$8*D8</f>
        <v>0</v>
      </c>
      <c r="E12" s="34">
        <f t="shared" ref="E12:K12" si="4">E7-$D$7/$D$8*E8</f>
        <v>-0.11111111111111116</v>
      </c>
      <c r="F12" s="35">
        <f t="shared" si="4"/>
        <v>-0.55555555555555558</v>
      </c>
      <c r="G12" s="33">
        <f t="shared" si="4"/>
        <v>0</v>
      </c>
      <c r="H12" s="37">
        <f t="shared" si="4"/>
        <v>0.11111111111111116</v>
      </c>
      <c r="I12" s="37">
        <f t="shared" si="4"/>
        <v>-0.22222222222222221</v>
      </c>
      <c r="J12">
        <f t="shared" si="4"/>
        <v>0</v>
      </c>
      <c r="K12">
        <f t="shared" si="4"/>
        <v>0</v>
      </c>
    </row>
    <row r="13" spans="2:11" ht="18" x14ac:dyDescent="0.25">
      <c r="B13" t="s">
        <v>71</v>
      </c>
      <c r="C13">
        <f>C8/$D$8</f>
        <v>0</v>
      </c>
      <c r="D13">
        <f>D8/$D$8</f>
        <v>1</v>
      </c>
      <c r="E13" s="34">
        <f t="shared" ref="E13:K13" si="5">E8/$D$8</f>
        <v>-1.4444444444444444</v>
      </c>
      <c r="F13" s="35">
        <f t="shared" si="5"/>
        <v>-0.22222222222222221</v>
      </c>
      <c r="G13" s="33">
        <f t="shared" si="5"/>
        <v>3</v>
      </c>
      <c r="H13" s="37">
        <f t="shared" si="5"/>
        <v>0.44444444444444442</v>
      </c>
      <c r="I13" s="37">
        <f t="shared" si="5"/>
        <v>0.1111111111111111</v>
      </c>
      <c r="J13">
        <f t="shared" si="5"/>
        <v>0</v>
      </c>
      <c r="K13">
        <f t="shared" si="5"/>
        <v>0</v>
      </c>
    </row>
    <row r="14" spans="2:11" ht="18" x14ac:dyDescent="0.25">
      <c r="B14" t="s">
        <v>72</v>
      </c>
      <c r="C14">
        <f>C9-$D$9/$D$8*C8</f>
        <v>0</v>
      </c>
      <c r="D14">
        <f>D9-$D$9/$D$8*D8</f>
        <v>0</v>
      </c>
      <c r="E14" s="36">
        <f t="shared" ref="E14:K14" si="6">E9-$D$9/$D$8*E8</f>
        <v>8.2222222222222214</v>
      </c>
      <c r="F14" s="35">
        <f t="shared" si="6"/>
        <v>1.1111111111111112</v>
      </c>
      <c r="G14" s="33">
        <f t="shared" si="6"/>
        <v>-12</v>
      </c>
      <c r="H14" s="37">
        <f t="shared" si="6"/>
        <v>-1.2222222222222223</v>
      </c>
      <c r="I14" s="37">
        <f t="shared" si="6"/>
        <v>-0.55555555555555558</v>
      </c>
      <c r="J14">
        <f t="shared" si="6"/>
        <v>1</v>
      </c>
      <c r="K14">
        <f t="shared" si="6"/>
        <v>0</v>
      </c>
    </row>
    <row r="15" spans="2:11" ht="18" x14ac:dyDescent="0.25">
      <c r="B15" t="s">
        <v>75</v>
      </c>
      <c r="C15">
        <f>C10-$D$10/$D$8*C8</f>
        <v>0</v>
      </c>
      <c r="D15">
        <f>D10-$D$10/$D$8*D8</f>
        <v>0</v>
      </c>
      <c r="E15" s="34">
        <f t="shared" ref="E15:K15" si="7">E10-$D$10/$D$8*E8</f>
        <v>2.5555555555555554</v>
      </c>
      <c r="F15" s="35">
        <f t="shared" si="7"/>
        <v>1.7777777777777777</v>
      </c>
      <c r="G15" s="33">
        <f t="shared" si="7"/>
        <v>2</v>
      </c>
      <c r="H15" s="37">
        <f t="shared" si="7"/>
        <v>-0.55555555555555558</v>
      </c>
      <c r="I15" s="37">
        <f t="shared" si="7"/>
        <v>0.1111111111111111</v>
      </c>
      <c r="J15">
        <f t="shared" si="7"/>
        <v>0</v>
      </c>
      <c r="K15">
        <f t="shared" si="7"/>
        <v>1</v>
      </c>
    </row>
    <row r="17" spans="2:11" ht="18" x14ac:dyDescent="0.25">
      <c r="B17" t="s">
        <v>59</v>
      </c>
      <c r="C17">
        <f t="shared" ref="C17:D17" si="8">C12-$E$12/$E$14*C14</f>
        <v>1</v>
      </c>
      <c r="D17">
        <f t="shared" si="8"/>
        <v>0</v>
      </c>
      <c r="E17">
        <f>E12-$E$12/$E$14*E14</f>
        <v>0</v>
      </c>
      <c r="F17" s="40">
        <f t="shared" ref="F17:K17" si="9">F12-$E$12/$E$14*F14</f>
        <v>-0.54054054054054057</v>
      </c>
      <c r="G17" s="39">
        <f t="shared" si="9"/>
        <v>-0.16216216216216225</v>
      </c>
      <c r="H17" s="37">
        <f t="shared" si="9"/>
        <v>9.4594594594594628E-2</v>
      </c>
      <c r="I17" s="37">
        <f t="shared" si="9"/>
        <v>-0.22972972972972971</v>
      </c>
      <c r="J17" s="37">
        <f t="shared" si="9"/>
        <v>1.3513513513513521E-2</v>
      </c>
      <c r="K17">
        <f t="shared" si="9"/>
        <v>0</v>
      </c>
    </row>
    <row r="18" spans="2:11" ht="18" x14ac:dyDescent="0.25">
      <c r="B18" t="s">
        <v>60</v>
      </c>
      <c r="C18">
        <f t="shared" ref="C18:D18" si="10">C13-$E$13/$E$14*C14</f>
        <v>0</v>
      </c>
      <c r="D18">
        <f t="shared" si="10"/>
        <v>1</v>
      </c>
      <c r="E18">
        <f>E13-$E$13/$E$14*E14</f>
        <v>0</v>
      </c>
      <c r="F18" s="40">
        <f t="shared" ref="F18:K18" si="11">F13-$E$13/$E$14*F14</f>
        <v>-2.7027027027027001E-2</v>
      </c>
      <c r="G18" s="39">
        <f t="shared" si="11"/>
        <v>0.89189189189189166</v>
      </c>
      <c r="H18" s="37">
        <f t="shared" si="11"/>
        <v>0.22972972972972969</v>
      </c>
      <c r="I18" s="37">
        <f t="shared" si="11"/>
        <v>1.35135135135135E-2</v>
      </c>
      <c r="J18" s="37">
        <f t="shared" si="11"/>
        <v>0.17567567567567569</v>
      </c>
      <c r="K18">
        <f t="shared" si="11"/>
        <v>0</v>
      </c>
    </row>
    <row r="19" spans="2:11" ht="18" x14ac:dyDescent="0.25">
      <c r="B19" t="s">
        <v>61</v>
      </c>
      <c r="C19">
        <f t="shared" ref="C19:D19" si="12">C14/$E$14</f>
        <v>0</v>
      </c>
      <c r="D19">
        <f t="shared" si="12"/>
        <v>0</v>
      </c>
      <c r="E19">
        <f>E14/$E$14</f>
        <v>1</v>
      </c>
      <c r="F19" s="40">
        <f t="shared" ref="F19:K19" si="13">F14/$E$14</f>
        <v>0.13513513513513514</v>
      </c>
      <c r="G19" s="39">
        <f t="shared" si="13"/>
        <v>-1.4594594594594597</v>
      </c>
      <c r="H19" s="37">
        <f t="shared" si="13"/>
        <v>-0.14864864864864868</v>
      </c>
      <c r="I19" s="37">
        <f t="shared" si="13"/>
        <v>-6.7567567567567571E-2</v>
      </c>
      <c r="J19" s="37">
        <f t="shared" si="13"/>
        <v>0.12162162162162163</v>
      </c>
      <c r="K19">
        <f t="shared" si="13"/>
        <v>0</v>
      </c>
    </row>
    <row r="20" spans="2:11" ht="18" x14ac:dyDescent="0.25">
      <c r="B20" t="s">
        <v>62</v>
      </c>
      <c r="C20">
        <f t="shared" ref="C20:D20" si="14">C15-$E$15/$E$14*C14</f>
        <v>0</v>
      </c>
      <c r="D20">
        <f t="shared" si="14"/>
        <v>0</v>
      </c>
      <c r="E20">
        <f>E15-$E$15/$E$14*E14</f>
        <v>0</v>
      </c>
      <c r="F20" s="38">
        <f t="shared" ref="F20:K20" si="15">F15-$E$15/$E$14*F14</f>
        <v>1.4324324324324325</v>
      </c>
      <c r="G20" s="39">
        <f t="shared" si="15"/>
        <v>5.7297297297297298</v>
      </c>
      <c r="H20" s="37">
        <f t="shared" si="15"/>
        <v>-0.17567567567567566</v>
      </c>
      <c r="I20" s="37">
        <f t="shared" si="15"/>
        <v>0.28378378378378377</v>
      </c>
      <c r="J20" s="37">
        <f t="shared" si="15"/>
        <v>-0.3108108108108108</v>
      </c>
      <c r="K20">
        <f t="shared" si="15"/>
        <v>1</v>
      </c>
    </row>
    <row r="22" spans="2:11" ht="18" x14ac:dyDescent="0.25">
      <c r="B22" t="s">
        <v>63</v>
      </c>
      <c r="C22">
        <f t="shared" ref="C22:E22" si="16">C17-$F$17/$F$20*C20</f>
        <v>1</v>
      </c>
      <c r="D22">
        <f t="shared" si="16"/>
        <v>0</v>
      </c>
      <c r="E22">
        <f t="shared" si="16"/>
        <v>0</v>
      </c>
      <c r="F22">
        <f>F17-$F$17/$F$20*F20</f>
        <v>0</v>
      </c>
      <c r="G22" s="33">
        <f t="shared" ref="G22:K22" si="17">G17-$F$17/$F$20*G20</f>
        <v>2</v>
      </c>
      <c r="H22" s="37">
        <f t="shared" si="17"/>
        <v>2.8301886792452866E-2</v>
      </c>
      <c r="I22" s="37">
        <f t="shared" si="17"/>
        <v>-0.12264150943396225</v>
      </c>
      <c r="J22" s="37">
        <f t="shared" si="17"/>
        <v>-0.10377358490566038</v>
      </c>
      <c r="K22" s="37">
        <f t="shared" si="17"/>
        <v>0.37735849056603776</v>
      </c>
    </row>
    <row r="23" spans="2:11" ht="18" x14ac:dyDescent="0.25">
      <c r="B23" t="s">
        <v>64</v>
      </c>
      <c r="C23">
        <f t="shared" ref="C23:E23" si="18">C18-$F$18/$F$20*C20</f>
        <v>0</v>
      </c>
      <c r="D23">
        <f t="shared" si="18"/>
        <v>1</v>
      </c>
      <c r="E23">
        <f t="shared" si="18"/>
        <v>0</v>
      </c>
      <c r="F23">
        <f>F18-$F$18/$F$20*F20</f>
        <v>0</v>
      </c>
      <c r="G23" s="33">
        <f t="shared" ref="G23:K23" si="19">G18-$F$18/$F$20*G20</f>
        <v>0.99999999999999967</v>
      </c>
      <c r="H23" s="37">
        <f t="shared" si="19"/>
        <v>0.22641509433962259</v>
      </c>
      <c r="I23" s="37">
        <f t="shared" si="19"/>
        <v>1.8867924528301869E-2</v>
      </c>
      <c r="J23" s="37">
        <f t="shared" si="19"/>
        <v>0.169811320754717</v>
      </c>
      <c r="K23" s="37">
        <f t="shared" si="19"/>
        <v>1.8867924528301869E-2</v>
      </c>
    </row>
    <row r="24" spans="2:11" ht="18" x14ac:dyDescent="0.25">
      <c r="B24" t="s">
        <v>65</v>
      </c>
      <c r="C24">
        <f t="shared" ref="C24:E24" si="20">C19-$F$19/$F$20*C20</f>
        <v>0</v>
      </c>
      <c r="D24">
        <f t="shared" si="20"/>
        <v>0</v>
      </c>
      <c r="E24">
        <f t="shared" si="20"/>
        <v>1</v>
      </c>
      <c r="F24">
        <f>F19-$F$19/$F$20*F20</f>
        <v>0</v>
      </c>
      <c r="G24" s="33">
        <f t="shared" ref="G24:K24" si="21">G19-$F$19/$F$20*G20</f>
        <v>-2</v>
      </c>
      <c r="H24" s="37">
        <f t="shared" si="21"/>
        <v>-0.13207547169811323</v>
      </c>
      <c r="I24" s="37">
        <f t="shared" si="21"/>
        <v>-9.4339622641509441E-2</v>
      </c>
      <c r="J24" s="37">
        <f t="shared" si="21"/>
        <v>0.15094339622641512</v>
      </c>
      <c r="K24" s="37">
        <f t="shared" si="21"/>
        <v>-9.4339622641509441E-2</v>
      </c>
    </row>
    <row r="25" spans="2:11" ht="18" x14ac:dyDescent="0.25">
      <c r="B25" t="s">
        <v>66</v>
      </c>
      <c r="C25">
        <f t="shared" ref="C25:E25" si="22">C20/$F$20</f>
        <v>0</v>
      </c>
      <c r="D25">
        <f t="shared" si="22"/>
        <v>0</v>
      </c>
      <c r="E25">
        <f t="shared" si="22"/>
        <v>0</v>
      </c>
      <c r="F25">
        <f>F20/$F$20</f>
        <v>1</v>
      </c>
      <c r="G25" s="33">
        <f t="shared" ref="G25:K25" si="23">G20/$F$20</f>
        <v>4</v>
      </c>
      <c r="H25" s="37">
        <f t="shared" si="23"/>
        <v>-0.12264150943396225</v>
      </c>
      <c r="I25" s="37">
        <f t="shared" si="23"/>
        <v>0.1981132075471698</v>
      </c>
      <c r="J25" s="37">
        <f t="shared" si="23"/>
        <v>-0.21698113207547168</v>
      </c>
      <c r="K25" s="37">
        <f t="shared" si="23"/>
        <v>0.69811320754716977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FC4E-AC92-424D-A267-CC4D55D2FB2F}">
  <dimension ref="B2:J20"/>
  <sheetViews>
    <sheetView zoomScale="140" zoomScaleNormal="140" workbookViewId="0">
      <selection activeCell="K17" sqref="K17"/>
    </sheetView>
  </sheetViews>
  <sheetFormatPr baseColWidth="10" defaultRowHeight="16" x14ac:dyDescent="0.2"/>
  <sheetData>
    <row r="2" spans="2:10" ht="18" x14ac:dyDescent="0.25">
      <c r="B2" s="2"/>
      <c r="C2" s="3" t="s">
        <v>76</v>
      </c>
      <c r="D2" s="4" t="s">
        <v>77</v>
      </c>
      <c r="E2" s="4" t="s">
        <v>78</v>
      </c>
      <c r="F2" s="4" t="s">
        <v>79</v>
      </c>
      <c r="G2" s="4" t="s">
        <v>80</v>
      </c>
      <c r="H2" s="50" t="s">
        <v>81</v>
      </c>
      <c r="I2" s="4" t="s">
        <v>82</v>
      </c>
      <c r="J2" s="10" t="s">
        <v>83</v>
      </c>
    </row>
    <row r="3" spans="2:10" ht="18" x14ac:dyDescent="0.25">
      <c r="B3" t="s">
        <v>78</v>
      </c>
      <c r="C3" s="51">
        <v>1</v>
      </c>
      <c r="D3">
        <v>3</v>
      </c>
      <c r="E3">
        <v>1</v>
      </c>
      <c r="F3">
        <v>0</v>
      </c>
      <c r="G3">
        <v>0</v>
      </c>
      <c r="H3" s="52">
        <v>0</v>
      </c>
      <c r="I3">
        <v>24</v>
      </c>
      <c r="J3" s="53">
        <f>I3/C3</f>
        <v>24</v>
      </c>
    </row>
    <row r="4" spans="2:10" ht="18" x14ac:dyDescent="0.25">
      <c r="B4" t="s">
        <v>79</v>
      </c>
      <c r="C4" s="51">
        <v>5</v>
      </c>
      <c r="D4">
        <v>7</v>
      </c>
      <c r="E4">
        <v>0</v>
      </c>
      <c r="F4">
        <v>1</v>
      </c>
      <c r="G4">
        <v>0</v>
      </c>
      <c r="H4" s="52">
        <v>0</v>
      </c>
      <c r="I4">
        <v>64</v>
      </c>
      <c r="J4" s="5">
        <f t="shared" ref="J4:J5" si="0">I4/C4</f>
        <v>12.8</v>
      </c>
    </row>
    <row r="5" spans="2:10" ht="18" x14ac:dyDescent="0.25">
      <c r="B5" t="s">
        <v>80</v>
      </c>
      <c r="C5" s="54">
        <v>2</v>
      </c>
      <c r="D5">
        <v>1</v>
      </c>
      <c r="E5">
        <v>0</v>
      </c>
      <c r="F5">
        <v>0</v>
      </c>
      <c r="G5">
        <v>1</v>
      </c>
      <c r="H5" s="52">
        <v>0</v>
      </c>
      <c r="I5">
        <v>22</v>
      </c>
      <c r="J5" s="55">
        <f t="shared" si="0"/>
        <v>11</v>
      </c>
    </row>
    <row r="6" spans="2:10" x14ac:dyDescent="0.2">
      <c r="B6" s="56" t="s">
        <v>81</v>
      </c>
      <c r="C6" s="57">
        <v>-1</v>
      </c>
      <c r="D6" s="56">
        <v>-1</v>
      </c>
      <c r="E6" s="56">
        <v>0</v>
      </c>
      <c r="F6" s="56">
        <v>0</v>
      </c>
      <c r="G6" s="56">
        <v>0</v>
      </c>
      <c r="H6" s="58">
        <v>1</v>
      </c>
      <c r="I6" s="56">
        <v>0</v>
      </c>
      <c r="J6" s="5">
        <f>MIN(J3:J5)</f>
        <v>11</v>
      </c>
    </row>
    <row r="9" spans="2:10" ht="18" x14ac:dyDescent="0.25">
      <c r="B9" s="2"/>
      <c r="C9" s="3" t="s">
        <v>76</v>
      </c>
      <c r="D9" s="4" t="s">
        <v>77</v>
      </c>
      <c r="E9" s="4" t="s">
        <v>78</v>
      </c>
      <c r="F9" s="4" t="s">
        <v>79</v>
      </c>
      <c r="G9" s="4" t="s">
        <v>80</v>
      </c>
      <c r="H9" s="59" t="s">
        <v>81</v>
      </c>
      <c r="I9" s="4" t="s">
        <v>82</v>
      </c>
      <c r="J9" s="10" t="s">
        <v>84</v>
      </c>
    </row>
    <row r="10" spans="2:10" ht="18" x14ac:dyDescent="0.25">
      <c r="B10" t="s">
        <v>76</v>
      </c>
      <c r="C10" s="57">
        <f>C3-$C$3/$C$5*C5</f>
        <v>0</v>
      </c>
      <c r="D10" s="60">
        <f t="shared" ref="D10:I10" si="1">D3-$C$3/$C$5*D5</f>
        <v>2.5</v>
      </c>
      <c r="E10" s="56">
        <f t="shared" si="1"/>
        <v>1</v>
      </c>
      <c r="F10" s="56">
        <f t="shared" si="1"/>
        <v>0</v>
      </c>
      <c r="G10" s="56">
        <f t="shared" si="1"/>
        <v>-0.5</v>
      </c>
      <c r="H10" s="58">
        <f t="shared" si="1"/>
        <v>0</v>
      </c>
      <c r="I10" s="56">
        <f t="shared" si="1"/>
        <v>13</v>
      </c>
      <c r="J10" s="53">
        <f>I10/D10</f>
        <v>5.2</v>
      </c>
    </row>
    <row r="11" spans="2:10" ht="18" x14ac:dyDescent="0.25">
      <c r="B11" t="s">
        <v>78</v>
      </c>
      <c r="C11" s="8">
        <f>C4-$C$4/$C$5*C5</f>
        <v>0</v>
      </c>
      <c r="D11" s="31">
        <f t="shared" ref="D11:I11" si="2">D4-$C$4/$C$5*D5</f>
        <v>4.5</v>
      </c>
      <c r="E11">
        <f t="shared" si="2"/>
        <v>0</v>
      </c>
      <c r="F11">
        <f t="shared" si="2"/>
        <v>1</v>
      </c>
      <c r="G11">
        <f t="shared" si="2"/>
        <v>-2.5</v>
      </c>
      <c r="H11" s="52">
        <f t="shared" si="2"/>
        <v>0</v>
      </c>
      <c r="I11">
        <f t="shared" si="2"/>
        <v>9</v>
      </c>
      <c r="J11" s="61">
        <f t="shared" ref="J11:J12" si="3">I11/D11</f>
        <v>2</v>
      </c>
    </row>
    <row r="12" spans="2:10" ht="18" x14ac:dyDescent="0.25">
      <c r="B12" t="s">
        <v>85</v>
      </c>
      <c r="C12" s="9">
        <f>C5/$C$5</f>
        <v>1</v>
      </c>
      <c r="D12" s="62">
        <f t="shared" ref="D12:I12" si="4">D5/$C$5</f>
        <v>0.5</v>
      </c>
      <c r="E12" s="2">
        <f t="shared" si="4"/>
        <v>0</v>
      </c>
      <c r="F12" s="2">
        <f t="shared" si="4"/>
        <v>0</v>
      </c>
      <c r="G12" s="2">
        <f t="shared" si="4"/>
        <v>0.5</v>
      </c>
      <c r="H12" s="63">
        <f t="shared" si="4"/>
        <v>0</v>
      </c>
      <c r="I12" s="2">
        <f t="shared" si="4"/>
        <v>11</v>
      </c>
      <c r="J12" s="64">
        <f t="shared" si="3"/>
        <v>22</v>
      </c>
    </row>
    <row r="13" spans="2:10" x14ac:dyDescent="0.2">
      <c r="B13" s="56" t="s">
        <v>81</v>
      </c>
      <c r="C13" s="57">
        <f>C6-$C$6/$C$5*C5</f>
        <v>0</v>
      </c>
      <c r="D13" s="65">
        <f t="shared" ref="D13:I13" si="5">D6-$C$6/$C$5*D5</f>
        <v>-0.5</v>
      </c>
      <c r="E13" s="56">
        <f t="shared" si="5"/>
        <v>0</v>
      </c>
      <c r="F13" s="56">
        <f t="shared" si="5"/>
        <v>0</v>
      </c>
      <c r="G13" s="56">
        <f t="shared" si="5"/>
        <v>0.5</v>
      </c>
      <c r="H13" s="52">
        <f t="shared" si="5"/>
        <v>1</v>
      </c>
      <c r="I13" s="56">
        <f t="shared" si="5"/>
        <v>11</v>
      </c>
      <c r="J13" s="8">
        <f>MIN(J10:J12)</f>
        <v>2</v>
      </c>
    </row>
    <row r="16" spans="2:10" ht="18" x14ac:dyDescent="0.25">
      <c r="B16" s="2"/>
      <c r="C16" s="66" t="s">
        <v>86</v>
      </c>
      <c r="D16" s="67" t="s">
        <v>87</v>
      </c>
      <c r="E16" s="68" t="s">
        <v>88</v>
      </c>
      <c r="F16" s="4" t="s">
        <v>79</v>
      </c>
      <c r="G16" s="4" t="s">
        <v>80</v>
      </c>
      <c r="H16" s="50" t="s">
        <v>81</v>
      </c>
      <c r="I16" s="4" t="s">
        <v>82</v>
      </c>
    </row>
    <row r="17" spans="2:9" ht="18" x14ac:dyDescent="0.25">
      <c r="B17" t="s">
        <v>76</v>
      </c>
      <c r="C17" s="8">
        <f>C10-$D$10/$D$11*C11</f>
        <v>0</v>
      </c>
      <c r="D17" s="56">
        <f>D10-$D$10/$D$11*D11</f>
        <v>0</v>
      </c>
      <c r="E17" s="69">
        <f t="shared" ref="E17:I17" si="6">E10-$D$10/$D$11*E11</f>
        <v>1</v>
      </c>
      <c r="F17" s="70">
        <f t="shared" si="6"/>
        <v>-0.55555555555555558</v>
      </c>
      <c r="G17" s="48">
        <f t="shared" si="6"/>
        <v>0.88888888888888884</v>
      </c>
      <c r="H17" s="8">
        <f t="shared" si="6"/>
        <v>0</v>
      </c>
      <c r="I17" s="71">
        <f t="shared" si="6"/>
        <v>8</v>
      </c>
    </row>
    <row r="18" spans="2:9" ht="18" x14ac:dyDescent="0.25">
      <c r="B18" t="s">
        <v>89</v>
      </c>
      <c r="C18" s="8">
        <f>C11/$D$11</f>
        <v>0</v>
      </c>
      <c r="D18" s="12">
        <f>D11/$D$11</f>
        <v>1</v>
      </c>
      <c r="E18">
        <f t="shared" ref="E18:I18" si="7">E11/$D$11</f>
        <v>0</v>
      </c>
      <c r="F18" s="48">
        <f t="shared" si="7"/>
        <v>0.22222222222222221</v>
      </c>
      <c r="G18" s="48">
        <f t="shared" si="7"/>
        <v>-0.55555555555555558</v>
      </c>
      <c r="H18" s="8">
        <f t="shared" si="7"/>
        <v>0</v>
      </c>
      <c r="I18" s="72">
        <f t="shared" si="7"/>
        <v>2</v>
      </c>
    </row>
    <row r="19" spans="2:9" ht="18" x14ac:dyDescent="0.25">
      <c r="B19" t="s">
        <v>78</v>
      </c>
      <c r="C19" s="73">
        <f>C12-$D$12/$D$11*C11</f>
        <v>1</v>
      </c>
      <c r="D19" s="2">
        <f>D12-$D$12/$D$11*D11</f>
        <v>0</v>
      </c>
      <c r="E19" s="2">
        <f t="shared" ref="E19:I19" si="8">E12-$D$12/$D$11*E11</f>
        <v>0</v>
      </c>
      <c r="F19" s="74">
        <f t="shared" si="8"/>
        <v>-0.1111111111111111</v>
      </c>
      <c r="G19" s="48">
        <f t="shared" si="8"/>
        <v>0.77777777777777779</v>
      </c>
      <c r="H19" s="8">
        <f t="shared" si="8"/>
        <v>0</v>
      </c>
      <c r="I19" s="73">
        <f t="shared" si="8"/>
        <v>10</v>
      </c>
    </row>
    <row r="20" spans="2:9" x14ac:dyDescent="0.2">
      <c r="B20" s="56" t="s">
        <v>81</v>
      </c>
      <c r="C20" s="57">
        <f>C13-$D$13/$D$11*C11</f>
        <v>0</v>
      </c>
      <c r="D20" s="56">
        <f>D13-$D$13/$D$11*D11</f>
        <v>0</v>
      </c>
      <c r="E20" s="56">
        <f t="shared" ref="E20:I20" si="9">E13-$D$13/$D$11*E11</f>
        <v>0</v>
      </c>
      <c r="F20" s="70">
        <f t="shared" si="9"/>
        <v>0.1111111111111111</v>
      </c>
      <c r="G20" s="70">
        <f t="shared" si="9"/>
        <v>0.22222222222222221</v>
      </c>
      <c r="H20" s="57">
        <f t="shared" si="9"/>
        <v>1</v>
      </c>
      <c r="I20" s="75">
        <f t="shared" si="9"/>
        <v>12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Grundsätzliches</vt:lpstr>
      <vt:lpstr>Addition</vt:lpstr>
      <vt:lpstr>Multiplikation</vt:lpstr>
      <vt:lpstr>Inverse I</vt:lpstr>
      <vt:lpstr>Inverse II</vt:lpstr>
      <vt:lpstr>Inverse III</vt:lpstr>
      <vt:lpstr>Inverse IV</vt:lpstr>
      <vt:lpstr>Gleichungssystem I</vt:lpstr>
      <vt:lpstr>Gauß | Elimination</vt:lpstr>
      <vt:lpstr>Gleichungssystem II</vt:lpstr>
      <vt:lpstr>Gleichungssystem III</vt:lpstr>
      <vt:lpstr>Simplex-Algorithmus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Willems</dc:creator>
  <cp:lastModifiedBy>Guido Willems</cp:lastModifiedBy>
  <dcterms:created xsi:type="dcterms:W3CDTF">2021-11-15T12:00:48Z</dcterms:created>
  <dcterms:modified xsi:type="dcterms:W3CDTF">2023-07-28T14:39:21Z</dcterms:modified>
</cp:coreProperties>
</file>